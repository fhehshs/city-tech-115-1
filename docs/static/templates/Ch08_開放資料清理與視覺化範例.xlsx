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s\AppData\Local\Temp\xl\"/>
    </mc:Choice>
  </mc:AlternateContent>
  <xr:revisionPtr revIDLastSave="0" documentId="13_ncr:1_{56E9573C-F9B5-49A4-A307-84CBDE4CC696}" xr6:coauthVersionLast="47" xr6:coauthVersionMax="47" xr10:uidLastSave="{00000000-0000-0000-0000-000000000000}"/>
  <bookViews>
    <workbookView xWindow="1200" yWindow="1200" windowWidth="9600" windowHeight="4890" xr2:uid="{00000000-000D-0000-FFFF-FFFF00000000}"/>
  </bookViews>
  <sheets>
    <sheet name="說明" sheetId="1" r:id="rId1"/>
    <sheet name="原始資料" sheetId="2" r:id="rId2"/>
    <sheet name="清理步驟" sheetId="3" r:id="rId3"/>
    <sheet name="清理後" sheetId="4" r:id="rId4"/>
    <sheet name="篩選練習" sheetId="5" r:id="rId5"/>
    <sheet name="統計" sheetId="6" r:id="rId6"/>
    <sheet name="時段資料" sheetId="7" r:id="rId7"/>
    <sheet name="圖表" sheetId="8" r:id="rId8"/>
    <sheet name="洞見範例" sheetId="9" r:id="rId9"/>
  </sheets>
  <definedNames>
    <definedName name="_xlnm._FilterDatabase" localSheetId="3" hidden="1">清理後!$A$4:$G$44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" i="6" l="1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H18" i="6"/>
  <c r="E18" i="6"/>
  <c r="D18" i="6"/>
  <c r="C18" i="6"/>
  <c r="B18" i="6"/>
  <c r="H17" i="6"/>
  <c r="E17" i="6"/>
  <c r="E29" i="6" s="1"/>
  <c r="D17" i="6"/>
  <c r="C17" i="6"/>
  <c r="C29" i="6" s="1"/>
  <c r="B17" i="6"/>
  <c r="B29" i="6" s="1"/>
  <c r="B12" i="6"/>
  <c r="B11" i="6"/>
  <c r="B10" i="6"/>
  <c r="B9" i="6"/>
  <c r="B8" i="6"/>
  <c r="B7" i="6"/>
  <c r="B6" i="6"/>
  <c r="B5" i="6"/>
  <c r="D9" i="5"/>
  <c r="D8" i="5"/>
  <c r="D7" i="5"/>
  <c r="D6" i="5"/>
  <c r="D5" i="5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F50" i="3"/>
  <c r="E50" i="3"/>
  <c r="I50" i="3" s="1"/>
  <c r="D50" i="3"/>
  <c r="C50" i="3"/>
  <c r="B50" i="3"/>
  <c r="A50" i="3"/>
  <c r="I49" i="3"/>
  <c r="F49" i="3"/>
  <c r="E49" i="3"/>
  <c r="H49" i="3" s="1"/>
  <c r="D49" i="3"/>
  <c r="C49" i="3"/>
  <c r="B49" i="3"/>
  <c r="A49" i="3"/>
  <c r="H48" i="3"/>
  <c r="F48" i="3"/>
  <c r="E48" i="3"/>
  <c r="I48" i="3" s="1"/>
  <c r="D48" i="3"/>
  <c r="C48" i="3"/>
  <c r="B48" i="3"/>
  <c r="A48" i="3"/>
  <c r="F47" i="3"/>
  <c r="E47" i="3"/>
  <c r="I47" i="3" s="1"/>
  <c r="D47" i="3"/>
  <c r="C47" i="3"/>
  <c r="B47" i="3"/>
  <c r="A47" i="3"/>
  <c r="F46" i="3"/>
  <c r="E46" i="3"/>
  <c r="I46" i="3" s="1"/>
  <c r="D46" i="3"/>
  <c r="C46" i="3"/>
  <c r="B46" i="3"/>
  <c r="A46" i="3"/>
  <c r="F45" i="3"/>
  <c r="E45" i="3"/>
  <c r="H45" i="3" s="1"/>
  <c r="D45" i="3"/>
  <c r="C45" i="3"/>
  <c r="B45" i="3"/>
  <c r="A45" i="3"/>
  <c r="F44" i="3"/>
  <c r="E44" i="3"/>
  <c r="I44" i="3" s="1"/>
  <c r="D44" i="3"/>
  <c r="C44" i="3"/>
  <c r="B44" i="3"/>
  <c r="A44" i="3"/>
  <c r="F43" i="3"/>
  <c r="E43" i="3"/>
  <c r="I43" i="3" s="1"/>
  <c r="D43" i="3"/>
  <c r="C43" i="3"/>
  <c r="B43" i="3"/>
  <c r="A43" i="3"/>
  <c r="F42" i="3"/>
  <c r="E42" i="3"/>
  <c r="I42" i="3" s="1"/>
  <c r="D42" i="3"/>
  <c r="C42" i="3"/>
  <c r="B42" i="3"/>
  <c r="A42" i="3"/>
  <c r="F41" i="3"/>
  <c r="E41" i="3"/>
  <c r="H41" i="3" s="1"/>
  <c r="D41" i="3"/>
  <c r="C41" i="3"/>
  <c r="B41" i="3"/>
  <c r="A41" i="3"/>
  <c r="F40" i="3"/>
  <c r="E40" i="3"/>
  <c r="I40" i="3" s="1"/>
  <c r="D40" i="3"/>
  <c r="C40" i="3"/>
  <c r="B40" i="3"/>
  <c r="A40" i="3"/>
  <c r="F39" i="3"/>
  <c r="E39" i="3"/>
  <c r="I39" i="3" s="1"/>
  <c r="D39" i="3"/>
  <c r="C39" i="3"/>
  <c r="B39" i="3"/>
  <c r="A39" i="3"/>
  <c r="F38" i="3"/>
  <c r="E38" i="3"/>
  <c r="I38" i="3" s="1"/>
  <c r="D38" i="3"/>
  <c r="C38" i="3"/>
  <c r="B38" i="3"/>
  <c r="A38" i="3"/>
  <c r="F37" i="3"/>
  <c r="E37" i="3"/>
  <c r="I37" i="3" s="1"/>
  <c r="D37" i="3"/>
  <c r="C37" i="3"/>
  <c r="B37" i="3"/>
  <c r="A37" i="3"/>
  <c r="I36" i="3"/>
  <c r="F36" i="3"/>
  <c r="E36" i="3"/>
  <c r="H36" i="3" s="1"/>
  <c r="D36" i="3"/>
  <c r="C36" i="3"/>
  <c r="B36" i="3"/>
  <c r="A36" i="3"/>
  <c r="F35" i="3"/>
  <c r="E35" i="3"/>
  <c r="I35" i="3" s="1"/>
  <c r="D35" i="3"/>
  <c r="C35" i="3"/>
  <c r="B35" i="3"/>
  <c r="A35" i="3"/>
  <c r="F34" i="3"/>
  <c r="E34" i="3"/>
  <c r="I34" i="3" s="1"/>
  <c r="D34" i="3"/>
  <c r="C34" i="3"/>
  <c r="B34" i="3"/>
  <c r="A34" i="3"/>
  <c r="I33" i="3"/>
  <c r="F33" i="3"/>
  <c r="E33" i="3"/>
  <c r="D33" i="3"/>
  <c r="C33" i="3"/>
  <c r="B33" i="3"/>
  <c r="A33" i="3"/>
  <c r="F32" i="3"/>
  <c r="H32" i="3" s="1"/>
  <c r="E32" i="3"/>
  <c r="I32" i="3" s="1"/>
  <c r="D32" i="3"/>
  <c r="C32" i="3"/>
  <c r="B32" i="3"/>
  <c r="A32" i="3"/>
  <c r="F31" i="3"/>
  <c r="E31" i="3"/>
  <c r="I31" i="3" s="1"/>
  <c r="D31" i="3"/>
  <c r="C31" i="3"/>
  <c r="B31" i="3"/>
  <c r="A31" i="3"/>
  <c r="G31" i="3" s="1"/>
  <c r="F30" i="3"/>
  <c r="E30" i="3"/>
  <c r="I30" i="3" s="1"/>
  <c r="D30" i="3"/>
  <c r="C30" i="3"/>
  <c r="B30" i="3"/>
  <c r="A30" i="3"/>
  <c r="F29" i="3"/>
  <c r="E29" i="3"/>
  <c r="D29" i="3"/>
  <c r="C29" i="3"/>
  <c r="B29" i="3"/>
  <c r="A29" i="3"/>
  <c r="I28" i="3"/>
  <c r="F28" i="3"/>
  <c r="E28" i="3"/>
  <c r="H28" i="3" s="1"/>
  <c r="D28" i="3"/>
  <c r="C28" i="3"/>
  <c r="B28" i="3"/>
  <c r="A28" i="3"/>
  <c r="F27" i="3"/>
  <c r="E27" i="3"/>
  <c r="I27" i="3" s="1"/>
  <c r="D27" i="3"/>
  <c r="C27" i="3"/>
  <c r="B27" i="3"/>
  <c r="A27" i="3"/>
  <c r="F26" i="3"/>
  <c r="E26" i="3"/>
  <c r="I26" i="3" s="1"/>
  <c r="D26" i="3"/>
  <c r="C26" i="3"/>
  <c r="B26" i="3"/>
  <c r="A26" i="3"/>
  <c r="F25" i="3"/>
  <c r="E25" i="3"/>
  <c r="H25" i="3" s="1"/>
  <c r="D25" i="3"/>
  <c r="C25" i="3"/>
  <c r="B25" i="3"/>
  <c r="A25" i="3"/>
  <c r="G25" i="3" s="1"/>
  <c r="F24" i="3"/>
  <c r="E24" i="3"/>
  <c r="I24" i="3" s="1"/>
  <c r="D24" i="3"/>
  <c r="C24" i="3"/>
  <c r="B24" i="3"/>
  <c r="A24" i="3"/>
  <c r="G24" i="3" s="1"/>
  <c r="F23" i="3"/>
  <c r="E23" i="3"/>
  <c r="I23" i="3" s="1"/>
  <c r="D23" i="3"/>
  <c r="C23" i="3"/>
  <c r="B23" i="3"/>
  <c r="A23" i="3"/>
  <c r="F22" i="3"/>
  <c r="E22" i="3"/>
  <c r="I22" i="3" s="1"/>
  <c r="D22" i="3"/>
  <c r="C22" i="3"/>
  <c r="B22" i="3"/>
  <c r="A22" i="3"/>
  <c r="I21" i="3"/>
  <c r="F21" i="3"/>
  <c r="E21" i="3"/>
  <c r="D21" i="3"/>
  <c r="C21" i="3"/>
  <c r="B21" i="3"/>
  <c r="A21" i="3"/>
  <c r="I20" i="3"/>
  <c r="H20" i="3"/>
  <c r="F20" i="3"/>
  <c r="E20" i="3"/>
  <c r="D20" i="3"/>
  <c r="C20" i="3"/>
  <c r="B20" i="3"/>
  <c r="A20" i="3"/>
  <c r="F19" i="3"/>
  <c r="E19" i="3"/>
  <c r="I19" i="3" s="1"/>
  <c r="D19" i="3"/>
  <c r="C19" i="3"/>
  <c r="B19" i="3"/>
  <c r="A19" i="3"/>
  <c r="F18" i="3"/>
  <c r="E18" i="3"/>
  <c r="I18" i="3" s="1"/>
  <c r="D18" i="3"/>
  <c r="C18" i="3"/>
  <c r="B18" i="3"/>
  <c r="A18" i="3"/>
  <c r="G18" i="3" s="1"/>
  <c r="F17" i="3"/>
  <c r="E17" i="3"/>
  <c r="I17" i="3" s="1"/>
  <c r="D17" i="3"/>
  <c r="C17" i="3"/>
  <c r="B17" i="3"/>
  <c r="A17" i="3"/>
  <c r="I16" i="3"/>
  <c r="F16" i="3"/>
  <c r="E16" i="3"/>
  <c r="H16" i="3" s="1"/>
  <c r="D16" i="3"/>
  <c r="C16" i="3"/>
  <c r="B16" i="3"/>
  <c r="A16" i="3"/>
  <c r="F15" i="3"/>
  <c r="E15" i="3"/>
  <c r="I15" i="3" s="1"/>
  <c r="D15" i="3"/>
  <c r="C15" i="3"/>
  <c r="B15" i="3"/>
  <c r="A15" i="3"/>
  <c r="F14" i="3"/>
  <c r="E14" i="3"/>
  <c r="I14" i="3" s="1"/>
  <c r="D14" i="3"/>
  <c r="C14" i="3"/>
  <c r="B14" i="3"/>
  <c r="A14" i="3"/>
  <c r="G14" i="3" s="1"/>
  <c r="I13" i="3"/>
  <c r="F13" i="3"/>
  <c r="E13" i="3"/>
  <c r="D13" i="3"/>
  <c r="C13" i="3"/>
  <c r="B13" i="3"/>
  <c r="A13" i="3"/>
  <c r="I12" i="3"/>
  <c r="H12" i="3"/>
  <c r="F12" i="3"/>
  <c r="E12" i="3"/>
  <c r="D12" i="3"/>
  <c r="C12" i="3"/>
  <c r="B12" i="3"/>
  <c r="A12" i="3"/>
  <c r="F11" i="3"/>
  <c r="E11" i="3"/>
  <c r="I11" i="3" s="1"/>
  <c r="D11" i="3"/>
  <c r="C11" i="3"/>
  <c r="B11" i="3"/>
  <c r="A11" i="3"/>
  <c r="F10" i="3"/>
  <c r="E10" i="3"/>
  <c r="I10" i="3" s="1"/>
  <c r="D10" i="3"/>
  <c r="C10" i="3"/>
  <c r="B10" i="3"/>
  <c r="A10" i="3"/>
  <c r="G10" i="3" s="1"/>
  <c r="F9" i="3"/>
  <c r="E9" i="3"/>
  <c r="I9" i="3" s="1"/>
  <c r="D9" i="3"/>
  <c r="C9" i="3"/>
  <c r="B9" i="3"/>
  <c r="A9" i="3"/>
  <c r="I8" i="3"/>
  <c r="F8" i="3"/>
  <c r="E8" i="3"/>
  <c r="H8" i="3" s="1"/>
  <c r="D8" i="3"/>
  <c r="C8" i="3"/>
  <c r="B8" i="3"/>
  <c r="A8" i="3"/>
  <c r="F7" i="3"/>
  <c r="E7" i="3"/>
  <c r="I7" i="3" s="1"/>
  <c r="D7" i="3"/>
  <c r="C7" i="3"/>
  <c r="B7" i="3"/>
  <c r="A7" i="3"/>
  <c r="G7" i="3" s="1"/>
  <c r="F6" i="3"/>
  <c r="E6" i="3"/>
  <c r="I6" i="3" s="1"/>
  <c r="D6" i="3"/>
  <c r="C6" i="3"/>
  <c r="B6" i="3"/>
  <c r="A6" i="3"/>
  <c r="G6" i="3" s="1"/>
  <c r="I5" i="3"/>
  <c r="F5" i="3"/>
  <c r="E5" i="3"/>
  <c r="D5" i="3"/>
  <c r="C5" i="3"/>
  <c r="B5" i="3"/>
  <c r="A5" i="3"/>
  <c r="G29" i="3" l="1"/>
  <c r="G15" i="3"/>
  <c r="H24" i="3"/>
  <c r="I25" i="3"/>
  <c r="G11" i="3"/>
  <c r="G19" i="3"/>
  <c r="H29" i="3"/>
  <c r="G44" i="3"/>
  <c r="J44" i="3" s="1"/>
  <c r="G45" i="3"/>
  <c r="H5" i="3"/>
  <c r="G8" i="3"/>
  <c r="J8" i="3" s="1"/>
  <c r="G9" i="3"/>
  <c r="H13" i="3"/>
  <c r="G16" i="3"/>
  <c r="J16" i="3" s="1"/>
  <c r="G17" i="3"/>
  <c r="H21" i="3"/>
  <c r="I29" i="3"/>
  <c r="G36" i="3"/>
  <c r="J36" i="3" s="1"/>
  <c r="G37" i="3"/>
  <c r="G43" i="3"/>
  <c r="G23" i="3"/>
  <c r="H33" i="3"/>
  <c r="H40" i="3"/>
  <c r="I41" i="3"/>
  <c r="G48" i="3"/>
  <c r="J48" i="3" s="1"/>
  <c r="G49" i="3"/>
  <c r="J49" i="3" s="1"/>
  <c r="G35" i="3"/>
  <c r="J24" i="3"/>
  <c r="G28" i="3"/>
  <c r="J28" i="3" s="1"/>
  <c r="G40" i="3"/>
  <c r="J40" i="3" s="1"/>
  <c r="G41" i="3"/>
  <c r="G47" i="3"/>
  <c r="G30" i="3"/>
  <c r="H9" i="3"/>
  <c r="G12" i="3"/>
  <c r="J12" i="3" s="1"/>
  <c r="G13" i="3"/>
  <c r="H17" i="3"/>
  <c r="G20" i="3"/>
  <c r="J20" i="3" s="1"/>
  <c r="G21" i="3"/>
  <c r="G27" i="3"/>
  <c r="H37" i="3"/>
  <c r="H44" i="3"/>
  <c r="I45" i="3"/>
  <c r="G32" i="3"/>
  <c r="J32" i="3" s="1"/>
  <c r="G33" i="3"/>
  <c r="G39" i="3"/>
  <c r="J25" i="3"/>
  <c r="J6" i="3"/>
  <c r="J29" i="3"/>
  <c r="J13" i="3"/>
  <c r="J21" i="3"/>
  <c r="J10" i="3"/>
  <c r="J33" i="3"/>
  <c r="G5" i="3"/>
  <c r="J5" i="3" s="1"/>
  <c r="G26" i="3"/>
  <c r="G42" i="3"/>
  <c r="J42" i="3" s="1"/>
  <c r="G46" i="3"/>
  <c r="J46" i="3" s="1"/>
  <c r="G50" i="3"/>
  <c r="J50" i="3" s="1"/>
  <c r="G34" i="3"/>
  <c r="H6" i="3"/>
  <c r="H10" i="3"/>
  <c r="H14" i="3"/>
  <c r="J14" i="3" s="1"/>
  <c r="H18" i="3"/>
  <c r="J18" i="3" s="1"/>
  <c r="H22" i="3"/>
  <c r="H26" i="3"/>
  <c r="H30" i="3"/>
  <c r="J30" i="3" s="1"/>
  <c r="H34" i="3"/>
  <c r="H38" i="3"/>
  <c r="H42" i="3"/>
  <c r="H46" i="3"/>
  <c r="H50" i="3"/>
  <c r="G22" i="3"/>
  <c r="J22" i="3" s="1"/>
  <c r="G38" i="3"/>
  <c r="J38" i="3" s="1"/>
  <c r="H7" i="3"/>
  <c r="J7" i="3" s="1"/>
  <c r="H11" i="3"/>
  <c r="J11" i="3" s="1"/>
  <c r="H15" i="3"/>
  <c r="J15" i="3" s="1"/>
  <c r="H19" i="3"/>
  <c r="J19" i="3" s="1"/>
  <c r="H23" i="3"/>
  <c r="J23" i="3" s="1"/>
  <c r="H27" i="3"/>
  <c r="H31" i="3"/>
  <c r="J31" i="3" s="1"/>
  <c r="H35" i="3"/>
  <c r="J35" i="3" s="1"/>
  <c r="H39" i="3"/>
  <c r="J39" i="3" s="1"/>
  <c r="H43" i="3"/>
  <c r="J43" i="3" s="1"/>
  <c r="H47" i="3"/>
  <c r="J27" i="3" l="1"/>
  <c r="J26" i="3"/>
  <c r="J41" i="3"/>
  <c r="J17" i="3"/>
  <c r="J47" i="3"/>
  <c r="J9" i="3"/>
  <c r="J37" i="3"/>
  <c r="J45" i="3"/>
  <c r="J34" i="3"/>
</calcChain>
</file>

<file path=xl/sharedStrings.xml><?xml version="1.0" encoding="utf-8"?>
<sst xmlns="http://schemas.openxmlformats.org/spreadsheetml/2006/main" count="436" uniqueCount="258">
  <si>
    <t>Ch08 巨量資料與開放資料 — 試算表教學範例</t>
  </si>
  <si>
    <t>城市科技｜資料清理、篩選排序、統計函數、資料視覺化</t>
  </si>
  <si>
    <t>【資料說明】</t>
  </si>
  <si>
    <t>本檔的 YouBike 站點資料為「教學模擬資料」，站名取自真實地點，但數字是為了練習而產生，不代表官方統計。</t>
  </si>
  <si>
    <t>真實資料可到 臺北市資料大平臺（data.taipei）或 政府資料開放平臺（data.gov.tw）搜尋「YouBike」下載 CSV。</t>
  </si>
  <si>
    <t>【工作表與上課流程】</t>
  </si>
  <si>
    <t>① 原始資料：故意放了 6 種「髒資料」（紅底），先讓學生找找看有哪些問題。</t>
  </si>
  <si>
    <t>② 清理步驟：用 TRIM、IF、SUBSTITUTE、VALUE、COUNTIFS 一欄一欄修正，藍底儲存格都是公式。</t>
  </si>
  <si>
    <t>③ 清理後：清理完成的乾淨資料，已開啟「篩選」，可練習排序與篩選。</t>
  </si>
  <si>
    <t>④ 篩選練習：自動篩選與進階篩選的題目（附答案數量讓學生自我檢核）。</t>
  </si>
  <si>
    <t>⑤ 統計：AVERAGE、MEDIAN、MODE、STDEV、MAX、MIN、COUNTIF、SUMIF、AVERAGEIF，以及「平均 vs 中位數」的薪資例子。</t>
  </si>
  <si>
    <t>⑥ 時段資料：平日與假日每小時借車次數，用來畫折線圖。</t>
  </si>
  <si>
    <t>⑦ 圖表：長條圖、折線圖、散佈圖（含趨勢線），以及「Y 軸不從 0 開始」的誤導圖對照。</t>
  </si>
  <si>
    <t>⑧ 洞見範例：示範怎麼從圖表寫出「言之有據」的洞見。</t>
  </si>
  <si>
    <t>【6 種髒資料】</t>
  </si>
  <si>
    <t>1. 行政區前後多空白（" 中正區"、"大安區 "）     → TRIM</t>
  </si>
  <si>
    <t>2. 行政區少了「區」（"中山"、"信義"）            → IF(RIGHT(...)="區", ..., ...&amp;"區")</t>
  </si>
  <si>
    <t>3. 站點名稱前後多空白                            → TRIM</t>
  </si>
  <si>
    <t>4. 數字被存成文字（"5,678"）                     → VALUE(SUBSTITUTE(...,",",""))</t>
  </si>
  <si>
    <t>5. 缺值（空白）                                  → 標記後決定刪除或補值</t>
  </si>
  <si>
    <t>6. 重複列 3 筆、異常值 99999 1 筆               → COUNTIFS 找重複、條件式格式找異常</t>
  </si>
  <si>
    <t>【Google 試算表】檔案 → 匯入 → 上傳本檔即可使用；公式與圖表都相容（樞紐分析在 Ch09）。</t>
  </si>
  <si>
    <t>原始資料（含髒資料）</t>
  </si>
  <si>
    <t>模擬從開放資料平臺下載的 CSV：紅底是有問題的儲存格，上課時可先把紅底取消，讓學生自己找</t>
  </si>
  <si>
    <t>站點編號</t>
  </si>
  <si>
    <t>站點名稱</t>
  </si>
  <si>
    <t>行政區</t>
  </si>
  <si>
    <t>車柱數</t>
  </si>
  <si>
    <t>9月借車次數</t>
  </si>
  <si>
    <t>9月還車次數</t>
  </si>
  <si>
    <t>500101021</t>
  </si>
  <si>
    <t>YouBike2.0_捷運台電大樓站(2號出口)</t>
  </si>
  <si>
    <t>中正區</t>
  </si>
  <si>
    <t>500101045</t>
  </si>
  <si>
    <t>YouBike2.0_臺大醫院</t>
  </si>
  <si>
    <t>500101066</t>
  </si>
  <si>
    <t>YouBike2.0_中正紀念堂</t>
  </si>
  <si>
    <t xml:space="preserve"> 中正區</t>
  </si>
  <si>
    <t>500101090</t>
  </si>
  <si>
    <t>YouBike2.0_捷運古亭站(5號出口)</t>
  </si>
  <si>
    <t>500101102</t>
  </si>
  <si>
    <t>YouBike2.0_捷運雙連站(1號出口)</t>
  </si>
  <si>
    <t>大同區</t>
  </si>
  <si>
    <t>500101116</t>
  </si>
  <si>
    <t xml:space="preserve">  YouBike2.0_大稻埕碼頭</t>
  </si>
  <si>
    <t>500101129</t>
  </si>
  <si>
    <t>YouBike2.0_捷運圓山站(2號出口)</t>
  </si>
  <si>
    <t>500101141</t>
  </si>
  <si>
    <t>YouBike2.0_捷運中山站(4號出口)</t>
  </si>
  <si>
    <t>中山</t>
  </si>
  <si>
    <t>500101171</t>
  </si>
  <si>
    <t>YouBike2.0_行天宮</t>
  </si>
  <si>
    <t>中山區</t>
  </si>
  <si>
    <t>500101189</t>
  </si>
  <si>
    <t>YouBike2.0_捷運民權西路站(9號出口)</t>
  </si>
  <si>
    <t>500101206</t>
  </si>
  <si>
    <t>YouBike2.0_花博公園</t>
  </si>
  <si>
    <t>3,259</t>
  </si>
  <si>
    <t>500101232</t>
  </si>
  <si>
    <t>YouBike2.0_捷運南京三民站</t>
  </si>
  <si>
    <t>松山區</t>
  </si>
  <si>
    <t>500101256</t>
  </si>
  <si>
    <t>YouBike2.0_松山車站</t>
  </si>
  <si>
    <t>500101284</t>
  </si>
  <si>
    <t>YouBike2.0_臺北小巨蛋</t>
  </si>
  <si>
    <t>500101315</t>
  </si>
  <si>
    <t>YouBike2.0_捷運公館站(2號出口)</t>
  </si>
  <si>
    <t>大安區</t>
  </si>
  <si>
    <t>500101326</t>
  </si>
  <si>
    <t>YouBike2.0_臺大總圖</t>
  </si>
  <si>
    <t>500101363</t>
  </si>
  <si>
    <t>YouBike2.0_捷運大安站</t>
  </si>
  <si>
    <t xml:space="preserve">大安區 </t>
  </si>
  <si>
    <t>500101371</t>
  </si>
  <si>
    <t>YouBike2.0_師大分部</t>
  </si>
  <si>
    <t>500101382</t>
  </si>
  <si>
    <t>YouBike2.0_捷運忠孝復興站</t>
  </si>
  <si>
    <t>500101403</t>
  </si>
  <si>
    <t>YouBike2.0_大安森林公園</t>
  </si>
  <si>
    <t>500101424</t>
  </si>
  <si>
    <t>YouBike2.0_捷運龍山寺站</t>
  </si>
  <si>
    <t>萬華區</t>
  </si>
  <si>
    <t>500101430</t>
  </si>
  <si>
    <t>YouBike2.0_西門町</t>
  </si>
  <si>
    <t>信義</t>
  </si>
  <si>
    <t>500101437</t>
  </si>
  <si>
    <t>YouBike2.0_青年公園</t>
  </si>
  <si>
    <t>500101458</t>
  </si>
  <si>
    <t>YouBike2.0_捷運市政府站</t>
  </si>
  <si>
    <t>信義區</t>
  </si>
  <si>
    <t>500101494</t>
  </si>
  <si>
    <t>YouBike2.0_台北101</t>
  </si>
  <si>
    <t>500101534</t>
  </si>
  <si>
    <t>YouBike2.0_松山文創園區</t>
  </si>
  <si>
    <t>500101548</t>
  </si>
  <si>
    <t>YouBike2.0_捷運永春站</t>
  </si>
  <si>
    <t>3,244</t>
  </si>
  <si>
    <t>500101580</t>
  </si>
  <si>
    <t>YouBike2.0_捷運士林站</t>
  </si>
  <si>
    <t>士林區</t>
  </si>
  <si>
    <t>500101586</t>
  </si>
  <si>
    <t>YouBike2.0_捷運劍潭站</t>
  </si>
  <si>
    <t>500101622</t>
  </si>
  <si>
    <t>YouBike2.0_天母運動公園</t>
  </si>
  <si>
    <t>500101627</t>
  </si>
  <si>
    <t xml:space="preserve">YouBike2.0_捷運北投站   </t>
  </si>
  <si>
    <t>北投區</t>
  </si>
  <si>
    <t>500101655</t>
  </si>
  <si>
    <t>YouBike2.0_新北投</t>
  </si>
  <si>
    <t>500101670</t>
  </si>
  <si>
    <t>YouBike2.0_捷運石牌站</t>
  </si>
  <si>
    <t>500101701</t>
  </si>
  <si>
    <t>YouBike2.0_捷運內湖站</t>
  </si>
  <si>
    <t>內湖區</t>
  </si>
  <si>
    <t>500101737</t>
  </si>
  <si>
    <t>YouBike2.0_內湖科學園區</t>
  </si>
  <si>
    <t>500101759</t>
  </si>
  <si>
    <t>YouBike2.0_捷運大湖公園站</t>
  </si>
  <si>
    <t>500101798</t>
  </si>
  <si>
    <t>YouBike2.0_南港車站</t>
  </si>
  <si>
    <t>南港區</t>
  </si>
  <si>
    <t>500101825</t>
  </si>
  <si>
    <t>YouBike2.0_南港軟體園區</t>
  </si>
  <si>
    <t>500101835</t>
  </si>
  <si>
    <t>YouBike2.0_捷運昆陽站</t>
  </si>
  <si>
    <t>500101853</t>
  </si>
  <si>
    <t>YouBike2.0_捷運木柵站</t>
  </si>
  <si>
    <t>文山區</t>
  </si>
  <si>
    <t>500101861</t>
  </si>
  <si>
    <t>YouBike2.0_政治大學</t>
  </si>
  <si>
    <t>500101887</t>
  </si>
  <si>
    <t>YouBike2.0_捷運景美站</t>
  </si>
  <si>
    <t>500101920</t>
  </si>
  <si>
    <t>YouBike2.0_動物園</t>
  </si>
  <si>
    <t>清理步驟（每一欄都是公式）</t>
  </si>
  <si>
    <t>藍底是公式：選一格看公式列，再往下拉就會套用到整欄</t>
  </si>
  <si>
    <t>站點名稱
=TRIM()</t>
  </si>
  <si>
    <t>行政區
=TRIM()＋補「區」</t>
  </si>
  <si>
    <t>借車次數
文字轉數字</t>
  </si>
  <si>
    <t>還車次數
文字轉數字</t>
  </si>
  <si>
    <t>是否重複
=COUNTIFS()</t>
  </si>
  <si>
    <t>缺值？</t>
  </si>
  <si>
    <t>異常值？
借車&gt;20000</t>
  </si>
  <si>
    <t>保留？</t>
  </si>
  <si>
    <t>上課提示：
1. 先只做 B、C 欄（TRIM），讓學生看到空白不見了。
2. E、F 欄示範 SUBSTITUTE 去逗號、VALUE 轉數字。
3. G 欄 COUNTIFS 的範圍 $A$5:A5 是「到目前這列為止」，所以只有第 2 次出現才標「重複」。
4. 最後用 J 欄篩選「✘ 刪除」，就知道要刪哪幾列。
5. 要把公式結果變成資料：複製 → 選擇性貼上 → 值。</t>
  </si>
  <si>
    <t>清理後資料</t>
  </si>
  <si>
    <t>刪除重複 3 筆、缺值 2 筆、異常值 1 筆後，剩 40 站；已開啟篩選</t>
  </si>
  <si>
    <t>每柱借車次數</t>
  </si>
  <si>
    <t>YouBike2.0_大稻埕碼頭</t>
  </si>
  <si>
    <t>YouBike2.0_捷運北投站</t>
  </si>
  <si>
    <t>篩選與排序練習</t>
  </si>
  <si>
    <t>到「清理後」工作表操作，把答案填在 C 欄；D 欄用公式驗算</t>
  </si>
  <si>
    <t>題號</t>
  </si>
  <si>
    <t>題目</t>
  </si>
  <si>
    <t>你的答案</t>
  </si>
  <si>
    <t>驗算（公式）</t>
  </si>
  <si>
    <t>1</t>
  </si>
  <si>
    <t>依「9月借車次數」由大到小排序，借車最多的是哪一站？</t>
  </si>
  <si>
    <t>2</t>
  </si>
  <si>
    <t>篩選「行政區＝大安區」，共有幾站？</t>
  </si>
  <si>
    <t>3</t>
  </si>
  <si>
    <t>篩選「車柱數 ≥ 50」，共有幾站？</t>
  </si>
  <si>
    <t>4</t>
  </si>
  <si>
    <t>多層排序：先依行政區、再依借車次數由大到小。文山區借車最多的站是？</t>
  </si>
  <si>
    <t>5</t>
  </si>
  <si>
    <t>進階篩選：信義區「且」借車次數 ≥ 4000 的站有幾站？（條件區域見下方）</t>
  </si>
  <si>
    <t>進階篩選條件區域範例</t>
  </si>
  <si>
    <t>進階篩選：資料 → 進階 → 資料範圍選「清理後」整張表，準則範圍選 A13:B14。
同一列的條件是「且（AND）」，寫在不同列是「或（OR）」。</t>
  </si>
  <si>
    <t>&gt;=4000</t>
  </si>
  <si>
    <t>統計函數應用</t>
  </si>
  <si>
    <t>所有數字都由公式計算；改「清理後」的資料，這裡會自動更新</t>
  </si>
  <si>
    <t>統計項目</t>
  </si>
  <si>
    <t>借車次數</t>
  </si>
  <si>
    <t>公式說明</t>
  </si>
  <si>
    <t>平均 vs 中位數：哪一個比較能代表「一般人」？</t>
  </si>
  <si>
    <t>平均數</t>
  </si>
  <si>
    <t>AVERAGE</t>
  </si>
  <si>
    <t>員工</t>
  </si>
  <si>
    <t>月薪</t>
  </si>
  <si>
    <t>中位數</t>
  </si>
  <si>
    <t>MEDIAN</t>
  </si>
  <si>
    <t>員工1</t>
  </si>
  <si>
    <t>標準差</t>
  </si>
  <si>
    <t>STDEV：數字越大代表各站差異越大</t>
  </si>
  <si>
    <t>員工2</t>
  </si>
  <si>
    <t>最大值</t>
  </si>
  <si>
    <t>MAX</t>
  </si>
  <si>
    <t>員工3</t>
  </si>
  <si>
    <t>最小值</t>
  </si>
  <si>
    <t>MIN</t>
  </si>
  <si>
    <t>員工4</t>
  </si>
  <si>
    <t>站點數</t>
  </si>
  <si>
    <t>COUNT</t>
  </si>
  <si>
    <t>員工5</t>
  </si>
  <si>
    <t>借車 ≥ 4000 的站數</t>
  </si>
  <si>
    <t>COUNTIF(範圍,"&gt;=4000")</t>
  </si>
  <si>
    <t>員工6</t>
  </si>
  <si>
    <t>最常見的車柱數（眾數）</t>
  </si>
  <si>
    <t>MODE（看車柱數）</t>
  </si>
  <si>
    <t>員工7</t>
  </si>
  <si>
    <t>員工8</t>
  </si>
  <si>
    <t>員工9</t>
  </si>
  <si>
    <t>各行政區統計（圖表的資料來源）</t>
  </si>
  <si>
    <t>員工10</t>
  </si>
  <si>
    <t>站點數
COUNTIF</t>
  </si>
  <si>
    <t>借車總數
SUMIF</t>
  </si>
  <si>
    <t>平均每站
AVERAGEIF</t>
  </si>
  <si>
    <t>車柱總數
SUMIF</t>
  </si>
  <si>
    <t>平均月薪</t>
  </si>
  <si>
    <t>中位數月薪</t>
  </si>
  <si>
    <t>9 人月薪 3 萬、1 人 100 萬：平均被拉高到約 12.7 萬，中位數才是 3 萬。
有極端值時，中位數比平均數更能代表「典型值」。</t>
  </si>
  <si>
    <t>合計</t>
  </si>
  <si>
    <t>平日 vs 假日：每小時借車次數（全市合計，模擬）</t>
  </si>
  <si>
    <t>用來畫折線圖、觀察通勤尖峰</t>
  </si>
  <si>
    <t>時段</t>
  </si>
  <si>
    <t>平日</t>
  </si>
  <si>
    <t>假日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</si>
  <si>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</si>
  <si>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</si>
  <si>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</si>
  <si>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</si>
  <si>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</si>
  <si>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</si>
  <si>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</si>
  <si>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</si>
  <si>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</si>
  <si>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</si>
  <si>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</si>
  <si>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</si>
  <si>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</si>
  <si>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</si>
  <si>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</si>
  <si>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</si>
  <si>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</si>
  <si>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</si>
  <si>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</si>
  <si>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</si>
  <si>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</si>
  <si>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</si>
  <si>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</si>
  <si>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</si>
  <si>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資料視覺化：選對圖表類型</t>
  </si>
  <si>
    <t>長條圖比大小、折線圖看趨勢、散佈圖看兩個變數的關係</t>
  </si>
  <si>
    <t>⚠️ 資料說謊：同一份資料，Y 軸起點不同</t>
  </si>
  <si>
    <t>右圖把 Y 軸從 1500 開始，各區「平均每站借車數」的差距看起來被放大好幾倍。看圖表時，先看 Y 軸從哪裡開始！</t>
  </si>
  <si>
    <t>從圖表到洞見：言之有據的寫法</t>
  </si>
  <si>
    <t>洞見 = 觀察到的現象 ＋ 數字證據 ＋ 可能的原因（注意相關 ≠ 因果）</t>
  </si>
  <si>
    <t>只是描述（不夠好）</t>
  </si>
  <si>
    <t>言之有據的洞見（好）</t>
  </si>
  <si>
    <t>洞見 1</t>
  </si>
  <si>
    <t>大安區借車最多。</t>
  </si>
  <si>
    <t>大安區借車總數全市最高（見「統計」工作表），而且站點數也最多；大安區有臺大、師大與多個捷運站，學生與通勤族多，可能是借車量高的原因。</t>
  </si>
  <si>
    <t>洞見 2</t>
  </si>
  <si>
    <t>早上和晚上借車多。</t>
  </si>
  <si>
    <t>平日借車在 08:00 與 18:00 形成兩個尖峰，假日則在下午較平均，顯示平日 YouBike 主要用於上下班、上下學的通勤接駁。</t>
  </si>
  <si>
    <t>洞見 3</t>
  </si>
  <si>
    <t>車柱多的站借車多。</t>
  </si>
  <si>
    <t>散佈圖顯示車柱數與借車次數呈正相關（趨勢線向右上），但這不代表「多裝車柱就會增加借車」，也可能是本來人多的地點才會設置較大的站。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</si>
</sst>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新細明體"/>
      <family val="2"/>
      <scheme val="minor"/>
    </font>
    <font>
      <b/>
      <sz val="16"/>
      <color rgb="FF1E3A8A"/>
      <name val="Microsoft JhengHei"/>
      <family val="2"/>
      <charset val="136"/>
    </font>
    <font>
      <sz val="10"/>
      <color rgb="FF64748B"/>
      <name val="Microsoft JhengHei"/>
      <family val="2"/>
      <charset val="136"/>
    </font>
    <font>
      <b/>
      <sz val="11"/>
      <name val="Microsoft JhengHei"/>
      <family val="2"/>
      <charset val="136"/>
    </font>
    <font>
      <sz val="11"/>
      <name val="Microsoft JhengHei"/>
      <family val="2"/>
      <charset val="136"/>
    </font>
    <font>
      <b/>
      <sz val="11"/>
      <color rgb="FFFFFFFF"/>
      <name val="Microsoft JhengHei"/>
      <family val="2"/>
      <charset val="136"/>
    </font>
    <font>
      <sz val="10"/>
      <color rgb="FF78350F"/>
      <name val="Microsoft JhengHei"/>
      <family val="2"/>
      <charset val="136"/>
    </font>
    <font>
      <b/>
      <sz val="11"/>
      <color rgb="FF1E3A8A"/>
      <name val="Microsoft JhengHei"/>
      <family val="2"/>
      <charset val="136"/>
    </font>
    <font>
      <b/>
      <sz val="11"/>
      <name val="Microsoft JhengHei"/>
      <family val="2"/>
      <charset val="136"/>
    </font>
    <font>
      <b/>
      <sz val="11"/>
      <color rgb="FFB91C1C"/>
      <name val="Microsoft JhengHei"/>
      <family val="2"/>
      <charset val="136"/>
    </font>
    <font>
      <sz val="11"/>
      <color theme="1"/>
      <name val="Microsoft JhengHei"/>
      <family val="2"/>
      <charset val="136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EE2E2"/>
      </patternFill>
    </fill>
    <fill>
      <patternFill patternType="solid">
        <fgColor rgb="FFE0F2FE"/>
      </patternFill>
    </fill>
    <fill>
      <patternFill patternType="solid">
        <fgColor rgb="FFFEF9C3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10" fillId="0" borderId="0" xfId="0" applyFont="1"/>
    <xf numFmtId="0" fontId="3" fillId="0" borderId="0" xfId="0" applyFont="1" applyAlignment="1"/>
    <xf numFmtId="0" fontId="4" fillId="0" borderId="0" xfId="0" applyFont="1" applyAlignment="1"/>
    <xf numFmtId="0" fontId="5" fillId="2" borderId="1" xfId="0" applyFont="1" applyFill="1" applyBorder="1" applyAlignment="1">
      <alignment horizontal="center" vertical="center" wrapText="1"/>
    </xf>
    <xf numFmtId="49" fontId="10" fillId="0" borderId="1" xfId="0" applyNumberFormat="1" applyFont="1" applyBorder="1"/>
    <xf numFmtId="0" fontId="10" fillId="0" borderId="1" xfId="0" applyFont="1" applyBorder="1"/>
    <xf numFmtId="0" fontId="10" fillId="3" borderId="1" xfId="0" applyFont="1" applyFill="1" applyBorder="1"/>
    <xf numFmtId="49" fontId="10" fillId="3" borderId="1" xfId="0" applyNumberFormat="1" applyFont="1" applyFill="1" applyBorder="1"/>
    <xf numFmtId="0" fontId="10" fillId="4" borderId="1" xfId="0" applyFont="1" applyFill="1" applyBorder="1"/>
    <xf numFmtId="3" fontId="10" fillId="0" borderId="1" xfId="0" applyNumberFormat="1" applyFont="1" applyBorder="1"/>
    <xf numFmtId="0" fontId="7" fillId="0" borderId="0" xfId="0" applyFont="1"/>
    <xf numFmtId="3" fontId="10" fillId="4" borderId="1" xfId="0" applyNumberFormat="1" applyFont="1" applyFill="1" applyBorder="1"/>
    <xf numFmtId="3" fontId="10" fillId="4" borderId="0" xfId="0" applyNumberFormat="1" applyFont="1" applyFill="1"/>
    <xf numFmtId="3" fontId="8" fillId="0" borderId="0" xfId="0" applyNumberFormat="1" applyFont="1"/>
    <xf numFmtId="0" fontId="9" fillId="0" borderId="0" xfId="0" applyFont="1"/>
    <xf numFmtId="0" fontId="10" fillId="0" borderId="1" xfId="0" applyFont="1" applyBorder="1" applyAlignment="1">
      <alignment vertical="top" wrapText="1"/>
    </xf>
    <xf numFmtId="0" fontId="6" fillId="5" borderId="0" xfId="0" applyFont="1" applyFill="1" applyAlignment="1">
      <alignment vertical="top" wrapText="1"/>
    </xf>
    <xf numFmtId="0" fontId="10" fillId="0" borderId="0" xfId="0" applyFont="1"/>
  </cellXfs>
  <cellStyles count="1">
    <cellStyle name="一般" xfId="0" builtinId="0"/>
  </cellStyles>
  <dxfs count="2">
    <dxf>
      <fill>
        <patternFill patternType="solid">
          <fgColor rgb="FFFDE68A"/>
        </patternFill>
      </fill>
    </dxf>
    <dxf>
      <fill>
        <patternFill patternType="solid">
          <fgColor rgb="FFFCA5A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/>
            </a:pPr>
            <a:r>
              <a:t>各行政區 9 月 YouBike 借車總數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統計!$C$16</c:f>
              <c:strCache>
                <c:ptCount val="1"/>
                <c:pt idx="0">
                  <c:v>借車總數
SUMIF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統計!$A$17:$A$28</c:f>
              <c:strCache>
                <c:ptCount val="12"/>
                <c:pt idx="0">
                  <c:v>中正區</c:v>
                </c:pt>
                <c:pt idx="1">
                  <c:v>大同區</c:v>
                </c:pt>
                <c:pt idx="2">
                  <c:v>中山區</c:v>
                </c:pt>
                <c:pt idx="3">
                  <c:v>松山區</c:v>
                </c:pt>
                <c:pt idx="4">
                  <c:v>大安區</c:v>
                </c:pt>
                <c:pt idx="5">
                  <c:v>萬華區</c:v>
                </c:pt>
                <c:pt idx="6">
                  <c:v>信義區</c:v>
                </c:pt>
                <c:pt idx="7">
                  <c:v>士林區</c:v>
                </c:pt>
                <c:pt idx="8">
                  <c:v>北投區</c:v>
                </c:pt>
                <c:pt idx="9">
                  <c:v>內湖區</c:v>
                </c:pt>
                <c:pt idx="10">
                  <c:v>南港區</c:v>
                </c:pt>
                <c:pt idx="11">
                  <c:v>文山區</c:v>
                </c:pt>
              </c:strCache>
            </c:strRef>
          </c:cat>
          <c:val>
            <c:numRef>
              <c:f>統計!$C$17:$C$28</c:f>
              <c:numCache>
                <c:formatCode>#,##0</c:formatCode>
                <c:ptCount val="12"/>
                <c:pt idx="0">
                  <c:v>21757</c:v>
                </c:pt>
                <c:pt idx="1">
                  <c:v>7371</c:v>
                </c:pt>
                <c:pt idx="2">
                  <c:v>21276</c:v>
                </c:pt>
                <c:pt idx="3">
                  <c:v>9355</c:v>
                </c:pt>
                <c:pt idx="4">
                  <c:v>28567</c:v>
                </c:pt>
                <c:pt idx="5">
                  <c:v>8971</c:v>
                </c:pt>
                <c:pt idx="6">
                  <c:v>15779</c:v>
                </c:pt>
                <c:pt idx="7">
                  <c:v>9513</c:v>
                </c:pt>
                <c:pt idx="8">
                  <c:v>5554</c:v>
                </c:pt>
                <c:pt idx="9">
                  <c:v>9128</c:v>
                </c:pt>
                <c:pt idx="10">
                  <c:v>7460</c:v>
                </c:pt>
                <c:pt idx="11">
                  <c:v>10073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37-43AB-A365-44FA8C845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行政區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借車次數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/>
            </a:pPr>
            <a:r>
              <a:t>每小時借車次數：平日 vs 假日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時段資料!$B$4</c:f>
              <c:strCache>
                <c:ptCount val="1"/>
                <c:pt idx="0">
                  <c:v>平日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時段資料!$A$5:$A$28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時段資料!$B$5:$B$28</c:f>
              <c:numCache>
                <c:formatCode>#,##0</c:formatCode>
                <c:ptCount val="24"/>
                <c:pt idx="0">
                  <c:v>261</c:v>
                </c:pt>
                <c:pt idx="1">
                  <c:v>226</c:v>
                </c:pt>
                <c:pt idx="2">
                  <c:v>244</c:v>
                </c:pt>
                <c:pt idx="3">
                  <c:v>293</c:v>
                </c:pt>
                <c:pt idx="4">
                  <c:v>337</c:v>
                </c:pt>
                <c:pt idx="5">
                  <c:v>387</c:v>
                </c:pt>
                <c:pt idx="6">
                  <c:v>669</c:v>
                </c:pt>
                <c:pt idx="7">
                  <c:v>2644</c:v>
                </c:pt>
                <c:pt idx="8">
                  <c:v>4531</c:v>
                </c:pt>
                <c:pt idx="9">
                  <c:v>2626</c:v>
                </c:pt>
                <c:pt idx="10">
                  <c:v>910</c:v>
                </c:pt>
                <c:pt idx="11">
                  <c:v>885</c:v>
                </c:pt>
                <c:pt idx="12">
                  <c:v>1083</c:v>
                </c:pt>
                <c:pt idx="13">
                  <c:v>1194</c:v>
                </c:pt>
                <c:pt idx="14">
                  <c:v>1057</c:v>
                </c:pt>
                <c:pt idx="15">
                  <c:v>888</c:v>
                </c:pt>
                <c:pt idx="16">
                  <c:v>1164</c:v>
                </c:pt>
                <c:pt idx="17">
                  <c:v>2713</c:v>
                </c:pt>
                <c:pt idx="18">
                  <c:v>4252</c:v>
                </c:pt>
                <c:pt idx="19">
                  <c:v>2775</c:v>
                </c:pt>
                <c:pt idx="20">
                  <c:v>951</c:v>
                </c:pt>
                <c:pt idx="21">
                  <c:v>355</c:v>
                </c:pt>
                <c:pt idx="22">
                  <c:v>317</c:v>
                </c:pt>
                <c:pt idx="23">
                  <c:v>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37-4899-B03C-4E7D55CEF106}"/>
            </c:ext>
          </c:extLst>
        </c:ser>
        <c:ser>
          <c:idx val="1"/>
          <c:order val="1"/>
          <c:tx>
            <c:strRef>
              <c:f>時段資料!$C$4</c:f>
              <c:strCache>
                <c:ptCount val="1"/>
                <c:pt idx="0">
                  <c:v>假日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時段資料!$A$5:$A$28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時段資料!$C$5:$C$28</c:f>
              <c:numCache>
                <c:formatCode>#,##0</c:formatCode>
                <c:ptCount val="24"/>
                <c:pt idx="0">
                  <c:v>266</c:v>
                </c:pt>
                <c:pt idx="1">
                  <c:v>200</c:v>
                </c:pt>
                <c:pt idx="2">
                  <c:v>176</c:v>
                </c:pt>
                <c:pt idx="3">
                  <c:v>167</c:v>
                </c:pt>
                <c:pt idx="4">
                  <c:v>186</c:v>
                </c:pt>
                <c:pt idx="5">
                  <c:v>185</c:v>
                </c:pt>
                <c:pt idx="6">
                  <c:v>205</c:v>
                </c:pt>
                <c:pt idx="7">
                  <c:v>224</c:v>
                </c:pt>
                <c:pt idx="8">
                  <c:v>289</c:v>
                </c:pt>
                <c:pt idx="9">
                  <c:v>403</c:v>
                </c:pt>
                <c:pt idx="10">
                  <c:v>624</c:v>
                </c:pt>
                <c:pt idx="11">
                  <c:v>1001</c:v>
                </c:pt>
                <c:pt idx="12">
                  <c:v>1621</c:v>
                </c:pt>
                <c:pt idx="13">
                  <c:v>2260</c:v>
                </c:pt>
                <c:pt idx="14">
                  <c:v>2508</c:v>
                </c:pt>
                <c:pt idx="15">
                  <c:v>2861</c:v>
                </c:pt>
                <c:pt idx="16">
                  <c:v>2571</c:v>
                </c:pt>
                <c:pt idx="17">
                  <c:v>2205</c:v>
                </c:pt>
                <c:pt idx="18">
                  <c:v>1617</c:v>
                </c:pt>
                <c:pt idx="19">
                  <c:v>1059</c:v>
                </c:pt>
                <c:pt idx="20">
                  <c:v>605</c:v>
                </c:pt>
                <c:pt idx="21">
                  <c:v>391</c:v>
                </c:pt>
                <c:pt idx="22">
                  <c:v>273</c:v>
                </c:pt>
                <c:pt idx="23">
                  <c:v>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37-4899-B03C-4E7D55CEF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時段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借車次數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13"/>
  <c:chart>
    <c:title>
      <c:tx>
        <c:rich>
          <a:bodyPr/>
          <a:lstStyle/>
          <a:p>
            <a:pPr>
              <a:defRPr/>
            </a:pPr>
            <a:r>
              <a:t>車柱數 vs 借車次數</a:t>
            </a:r>
          </a:p>
        </c:rich>
      </c:tx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各站點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清理後!$D$5:$D$44</c:f>
              <c:numCache>
                <c:formatCode>General</c:formatCode>
                <c:ptCount val="40"/>
                <c:pt idx="0">
                  <c:v>30</c:v>
                </c:pt>
                <c:pt idx="1">
                  <c:v>76</c:v>
                </c:pt>
                <c:pt idx="2">
                  <c:v>60</c:v>
                </c:pt>
                <c:pt idx="3">
                  <c:v>44</c:v>
                </c:pt>
                <c:pt idx="4">
                  <c:v>20</c:v>
                </c:pt>
                <c:pt idx="5">
                  <c:v>44</c:v>
                </c:pt>
                <c:pt idx="6">
                  <c:v>28</c:v>
                </c:pt>
                <c:pt idx="7">
                  <c:v>76</c:v>
                </c:pt>
                <c:pt idx="8">
                  <c:v>20</c:v>
                </c:pt>
                <c:pt idx="9">
                  <c:v>76</c:v>
                </c:pt>
                <c:pt idx="10">
                  <c:v>32</c:v>
                </c:pt>
                <c:pt idx="11">
                  <c:v>48</c:v>
                </c:pt>
                <c:pt idx="12">
                  <c:v>68</c:v>
                </c:pt>
                <c:pt idx="13">
                  <c:v>32</c:v>
                </c:pt>
                <c:pt idx="14">
                  <c:v>52</c:v>
                </c:pt>
                <c:pt idx="15">
                  <c:v>60</c:v>
                </c:pt>
                <c:pt idx="16">
                  <c:v>40</c:v>
                </c:pt>
                <c:pt idx="17">
                  <c:v>20</c:v>
                </c:pt>
                <c:pt idx="18">
                  <c:v>36</c:v>
                </c:pt>
                <c:pt idx="19">
                  <c:v>48</c:v>
                </c:pt>
                <c:pt idx="20">
                  <c:v>36</c:v>
                </c:pt>
                <c:pt idx="21">
                  <c:v>48</c:v>
                </c:pt>
                <c:pt idx="22">
                  <c:v>28</c:v>
                </c:pt>
                <c:pt idx="23">
                  <c:v>48</c:v>
                </c:pt>
                <c:pt idx="24">
                  <c:v>32</c:v>
                </c:pt>
                <c:pt idx="25">
                  <c:v>48</c:v>
                </c:pt>
                <c:pt idx="26">
                  <c:v>28</c:v>
                </c:pt>
                <c:pt idx="27">
                  <c:v>30</c:v>
                </c:pt>
                <c:pt idx="28">
                  <c:v>28</c:v>
                </c:pt>
                <c:pt idx="29">
                  <c:v>44</c:v>
                </c:pt>
                <c:pt idx="30">
                  <c:v>20</c:v>
                </c:pt>
                <c:pt idx="31">
                  <c:v>76</c:v>
                </c:pt>
                <c:pt idx="32">
                  <c:v>28</c:v>
                </c:pt>
                <c:pt idx="33">
                  <c:v>24</c:v>
                </c:pt>
                <c:pt idx="34">
                  <c:v>68</c:v>
                </c:pt>
                <c:pt idx="35">
                  <c:v>30</c:v>
                </c:pt>
                <c:pt idx="36">
                  <c:v>32</c:v>
                </c:pt>
                <c:pt idx="37">
                  <c:v>36</c:v>
                </c:pt>
                <c:pt idx="38">
                  <c:v>40</c:v>
                </c:pt>
                <c:pt idx="39">
                  <c:v>30</c:v>
                </c:pt>
              </c:numCache>
            </c:numRef>
          </c:xVal>
          <c:yVal>
            <c:numRef>
              <c:f>清理後!$E$5:$E$44</c:f>
              <c:numCache>
                <c:formatCode>#,##0</c:formatCode>
                <c:ptCount val="40"/>
                <c:pt idx="0">
                  <c:v>3238</c:v>
                </c:pt>
                <c:pt idx="1">
                  <c:v>8621</c:v>
                </c:pt>
                <c:pt idx="2">
                  <c:v>6959</c:v>
                </c:pt>
                <c:pt idx="3">
                  <c:v>2939</c:v>
                </c:pt>
                <c:pt idx="4">
                  <c:v>1246</c:v>
                </c:pt>
                <c:pt idx="5">
                  <c:v>3644</c:v>
                </c:pt>
                <c:pt idx="6">
                  <c:v>2481</c:v>
                </c:pt>
                <c:pt idx="7">
                  <c:v>8177</c:v>
                </c:pt>
                <c:pt idx="8">
                  <c:v>1904</c:v>
                </c:pt>
                <c:pt idx="9">
                  <c:v>7936</c:v>
                </c:pt>
                <c:pt idx="10">
                  <c:v>3259</c:v>
                </c:pt>
                <c:pt idx="11">
                  <c:v>4237</c:v>
                </c:pt>
                <c:pt idx="12">
                  <c:v>5118</c:v>
                </c:pt>
                <c:pt idx="13">
                  <c:v>3607</c:v>
                </c:pt>
                <c:pt idx="14">
                  <c:v>6518</c:v>
                </c:pt>
                <c:pt idx="15">
                  <c:v>8885</c:v>
                </c:pt>
                <c:pt idx="16">
                  <c:v>5959</c:v>
                </c:pt>
                <c:pt idx="17">
                  <c:v>3598</c:v>
                </c:pt>
                <c:pt idx="18">
                  <c:v>3315</c:v>
                </c:pt>
                <c:pt idx="19">
                  <c:v>2795</c:v>
                </c:pt>
                <c:pt idx="20">
                  <c:v>2861</c:v>
                </c:pt>
                <c:pt idx="21">
                  <c:v>5349</c:v>
                </c:pt>
                <c:pt idx="22">
                  <c:v>2392</c:v>
                </c:pt>
                <c:pt idx="23">
                  <c:v>4795</c:v>
                </c:pt>
                <c:pt idx="24">
                  <c:v>3243</c:v>
                </c:pt>
                <c:pt idx="25">
                  <c:v>4366</c:v>
                </c:pt>
                <c:pt idx="26">
                  <c:v>2584</c:v>
                </c:pt>
                <c:pt idx="27">
                  <c:v>2563</c:v>
                </c:pt>
                <c:pt idx="28">
                  <c:v>1502</c:v>
                </c:pt>
                <c:pt idx="29">
                  <c:v>2671</c:v>
                </c:pt>
                <c:pt idx="30">
                  <c:v>1381</c:v>
                </c:pt>
                <c:pt idx="31">
                  <c:v>6391</c:v>
                </c:pt>
                <c:pt idx="32">
                  <c:v>2737</c:v>
                </c:pt>
                <c:pt idx="33">
                  <c:v>1216</c:v>
                </c:pt>
                <c:pt idx="34">
                  <c:v>3651</c:v>
                </c:pt>
                <c:pt idx="35">
                  <c:v>2593</c:v>
                </c:pt>
                <c:pt idx="36">
                  <c:v>2771</c:v>
                </c:pt>
                <c:pt idx="37">
                  <c:v>2765</c:v>
                </c:pt>
                <c:pt idx="38">
                  <c:v>1999</c:v>
                </c:pt>
                <c:pt idx="39">
                  <c:v>2538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C4-4A45-BDC0-E0FA132C9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車柱數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9月借車次數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/>
            </a:pPr>
            <a:r>
              <a:t>Y 軸從 0 開始（正確）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統計!$D$16</c:f>
              <c:strCache>
                <c:ptCount val="1"/>
                <c:pt idx="0">
                  <c:v>平均每站
AVERAGEIF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統計!$A$17:$A$28</c:f>
              <c:strCache>
                <c:ptCount val="12"/>
                <c:pt idx="0">
                  <c:v>中正區</c:v>
                </c:pt>
                <c:pt idx="1">
                  <c:v>大同區</c:v>
                </c:pt>
                <c:pt idx="2">
                  <c:v>中山區</c:v>
                </c:pt>
                <c:pt idx="3">
                  <c:v>松山區</c:v>
                </c:pt>
                <c:pt idx="4">
                  <c:v>大安區</c:v>
                </c:pt>
                <c:pt idx="5">
                  <c:v>萬華區</c:v>
                </c:pt>
                <c:pt idx="6">
                  <c:v>信義區</c:v>
                </c:pt>
                <c:pt idx="7">
                  <c:v>士林區</c:v>
                </c:pt>
                <c:pt idx="8">
                  <c:v>北投區</c:v>
                </c:pt>
                <c:pt idx="9">
                  <c:v>內湖區</c:v>
                </c:pt>
                <c:pt idx="10">
                  <c:v>南港區</c:v>
                </c:pt>
                <c:pt idx="11">
                  <c:v>文山區</c:v>
                </c:pt>
              </c:strCache>
            </c:strRef>
          </c:cat>
          <c:val>
            <c:numRef>
              <c:f>統計!$D$17:$D$28</c:f>
              <c:numCache>
                <c:formatCode>#,##0</c:formatCode>
                <c:ptCount val="12"/>
                <c:pt idx="0">
                  <c:v>5439</c:v>
                </c:pt>
                <c:pt idx="1">
                  <c:v>2457</c:v>
                </c:pt>
                <c:pt idx="2">
                  <c:v>5319</c:v>
                </c:pt>
                <c:pt idx="3">
                  <c:v>4678</c:v>
                </c:pt>
                <c:pt idx="4">
                  <c:v>5713</c:v>
                </c:pt>
                <c:pt idx="5">
                  <c:v>2990</c:v>
                </c:pt>
                <c:pt idx="6">
                  <c:v>3945</c:v>
                </c:pt>
                <c:pt idx="7">
                  <c:v>3171</c:v>
                </c:pt>
                <c:pt idx="8">
                  <c:v>1851</c:v>
                </c:pt>
                <c:pt idx="9">
                  <c:v>4564</c:v>
                </c:pt>
                <c:pt idx="10">
                  <c:v>2487</c:v>
                </c:pt>
                <c:pt idx="11">
                  <c:v>2518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1A-418D-9D70-8B874CB76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/>
            </a:pPr>
            <a:r>
              <a:t>Y 軸從 1500 開始（誤導）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統計!$D$16</c:f>
              <c:strCache>
                <c:ptCount val="1"/>
                <c:pt idx="0">
                  <c:v>平均每站
AVERAGEIF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統計!$A$17:$A$28</c:f>
              <c:strCache>
                <c:ptCount val="12"/>
                <c:pt idx="0">
                  <c:v>中正區</c:v>
                </c:pt>
                <c:pt idx="1">
                  <c:v>大同區</c:v>
                </c:pt>
                <c:pt idx="2">
                  <c:v>中山區</c:v>
                </c:pt>
                <c:pt idx="3">
                  <c:v>松山區</c:v>
                </c:pt>
                <c:pt idx="4">
                  <c:v>大安區</c:v>
                </c:pt>
                <c:pt idx="5">
                  <c:v>萬華區</c:v>
                </c:pt>
                <c:pt idx="6">
                  <c:v>信義區</c:v>
                </c:pt>
                <c:pt idx="7">
                  <c:v>士林區</c:v>
                </c:pt>
                <c:pt idx="8">
                  <c:v>北投區</c:v>
                </c:pt>
                <c:pt idx="9">
                  <c:v>內湖區</c:v>
                </c:pt>
                <c:pt idx="10">
                  <c:v>南港區</c:v>
                </c:pt>
                <c:pt idx="11">
                  <c:v>文山區</c:v>
                </c:pt>
              </c:strCache>
            </c:strRef>
          </c:cat>
          <c:val>
            <c:numRef>
              <c:f>統計!$D$17:$D$28</c:f>
              <c:numCache>
                <c:formatCode>#,##0</c:formatCode>
                <c:ptCount val="12"/>
                <c:pt idx="0">
                  <c:v>5439</c:v>
                </c:pt>
                <c:pt idx="1">
                  <c:v>2457</c:v>
                </c:pt>
                <c:pt idx="2">
                  <c:v>5319</c:v>
                </c:pt>
                <c:pt idx="3">
                  <c:v>4678</c:v>
                </c:pt>
                <c:pt idx="4">
                  <c:v>5713</c:v>
                </c:pt>
                <c:pt idx="5">
                  <c:v>2990</c:v>
                </c:pt>
                <c:pt idx="6">
                  <c:v>3945</c:v>
                </c:pt>
                <c:pt idx="7">
                  <c:v>3171</c:v>
                </c:pt>
                <c:pt idx="8">
                  <c:v>1851</c:v>
                </c:pt>
                <c:pt idx="9">
                  <c:v>4564</c:v>
                </c:pt>
                <c:pt idx="10">
                  <c:v>2487</c:v>
                </c:pt>
                <c:pt idx="11">
                  <c:v>2518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01-40AE-A303-D6447FE25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1500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3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576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10</xdr:col>
      <xdr:colOff>0</xdr:colOff>
      <xdr:row>22</xdr:row>
      <xdr:rowOff>0</xdr:rowOff>
    </xdr:from>
    <xdr:ext cx="324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17</xdr:col>
      <xdr:colOff>0</xdr:colOff>
      <xdr:row>22</xdr:row>
      <xdr:rowOff>0</xdr:rowOff>
    </xdr:from>
    <xdr:ext cx="324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tabSelected="1" workbookViewId="0"/>
  </sheetViews>
  <sheetFormatPr defaultRowHeight="14.5"/>
  <cols>
    <col min="1" max="1" width="110" customWidth="1"/>
  </cols>
  <sheetData>
    <row r="1" spans="1:1" ht="20.5">
      <c r="A1" s="1" t="s">
        <v>0</v>
      </c>
    </row>
    <row r="2" spans="1:1">
      <c r="A2" s="2" t="s">
        <v>1</v>
      </c>
    </row>
    <row r="3" spans="1:1" ht="15">
      <c r="A3" s="3"/>
    </row>
    <row r="4" spans="1:1" ht="15">
      <c r="A4" s="4" t="s">
        <v>2</v>
      </c>
    </row>
    <row r="5" spans="1:1" ht="15">
      <c r="A5" s="5" t="s">
        <v>3</v>
      </c>
    </row>
    <row r="6" spans="1:1" ht="15">
      <c r="A6" s="5" t="s">
        <v>4</v>
      </c>
    </row>
    <row r="7" spans="1:1" ht="15">
      <c r="A7" s="5"/>
    </row>
    <row r="8" spans="1:1" ht="15">
      <c r="A8" s="4" t="s">
        <v>5</v>
      </c>
    </row>
    <row r="9" spans="1:1" ht="15">
      <c r="A9" s="5" t="s">
        <v>6</v>
      </c>
    </row>
    <row r="10" spans="1:1" ht="15">
      <c r="A10" s="5" t="s">
        <v>7</v>
      </c>
    </row>
    <row r="11" spans="1:1" ht="15">
      <c r="A11" s="5" t="s">
        <v>8</v>
      </c>
    </row>
    <row r="12" spans="1:1" ht="15">
      <c r="A12" s="5" t="s">
        <v>9</v>
      </c>
    </row>
    <row r="13" spans="1:1" ht="15">
      <c r="A13" s="5" t="s">
        <v>10</v>
      </c>
    </row>
    <row r="14" spans="1:1" ht="15">
      <c r="A14" s="5" t="s">
        <v>11</v>
      </c>
    </row>
    <row r="15" spans="1:1" ht="15">
      <c r="A15" s="5" t="s">
        <v>12</v>
      </c>
    </row>
    <row r="16" spans="1:1" ht="15">
      <c r="A16" s="5" t="s">
        <v>13</v>
      </c>
    </row>
    <row r="17" spans="1:1" ht="15">
      <c r="A17" s="5"/>
    </row>
    <row r="18" spans="1:1" ht="15">
      <c r="A18" s="4" t="s">
        <v>14</v>
      </c>
    </row>
    <row r="19" spans="1:1" ht="15">
      <c r="A19" s="5" t="s">
        <v>15</v>
      </c>
    </row>
    <row r="20" spans="1:1" ht="15">
      <c r="A20" s="5" t="s">
        <v>16</v>
      </c>
    </row>
    <row r="21" spans="1:1" ht="15">
      <c r="A21" s="5" t="s">
        <v>17</v>
      </c>
    </row>
    <row r="22" spans="1:1" ht="15">
      <c r="A22" s="5" t="s">
        <v>18</v>
      </c>
    </row>
    <row r="23" spans="1:1" ht="15">
      <c r="A23" s="5" t="s">
        <v>19</v>
      </c>
    </row>
    <row r="24" spans="1:1" ht="15">
      <c r="A24" s="5" t="s">
        <v>20</v>
      </c>
    </row>
    <row r="25" spans="1:1" ht="15">
      <c r="A25" s="5"/>
    </row>
    <row r="26" spans="1:1" ht="15">
      <c r="A26" s="4" t="s">
        <v>21</v>
      </c>
    </row>
  </sheetData>
  <phoneticPr fontId="11" type="noConversion"/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"/>
  <sheetViews>
    <sheetView workbookViewId="0">
      <pane ySplit="4" topLeftCell="A5" activePane="bottomLeft" state="frozen"/>
      <selection pane="bottomLeft"/>
    </sheetView>
  </sheetViews>
  <sheetFormatPr defaultRowHeight="14.5"/>
  <cols>
    <col min="1" max="1" width="12" customWidth="1"/>
    <col min="2" max="2" width="34" customWidth="1"/>
    <col min="3" max="3" width="10" customWidth="1"/>
    <col min="4" max="4" width="9" customWidth="1"/>
    <col min="5" max="6" width="13" customWidth="1"/>
  </cols>
  <sheetData>
    <row r="1" spans="1:6" ht="20.5">
      <c r="A1" s="1" t="s">
        <v>22</v>
      </c>
      <c r="B1" s="3"/>
      <c r="C1" s="3"/>
      <c r="D1" s="3"/>
      <c r="E1" s="3"/>
      <c r="F1" s="3"/>
    </row>
    <row r="2" spans="1:6" ht="15">
      <c r="A2" s="2" t="s">
        <v>23</v>
      </c>
      <c r="B2" s="3"/>
      <c r="C2" s="3"/>
      <c r="D2" s="3"/>
      <c r="E2" s="3"/>
      <c r="F2" s="3"/>
    </row>
    <row r="3" spans="1:6" ht="15">
      <c r="A3" s="3"/>
      <c r="B3" s="3"/>
      <c r="C3" s="3"/>
      <c r="D3" s="3"/>
      <c r="E3" s="3"/>
      <c r="F3" s="3"/>
    </row>
    <row r="4" spans="1:6" ht="29">
      <c r="A4" s="6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29</v>
      </c>
    </row>
    <row r="5" spans="1:6" ht="15">
      <c r="A5" s="7" t="s">
        <v>30</v>
      </c>
      <c r="B5" s="8" t="s">
        <v>31</v>
      </c>
      <c r="C5" s="8" t="s">
        <v>32</v>
      </c>
      <c r="D5" s="8">
        <v>30</v>
      </c>
      <c r="E5" s="8">
        <v>3238</v>
      </c>
      <c r="F5" s="8">
        <v>3262</v>
      </c>
    </row>
    <row r="6" spans="1:6" ht="15">
      <c r="A6" s="7" t="s">
        <v>33</v>
      </c>
      <c r="B6" s="8" t="s">
        <v>34</v>
      </c>
      <c r="C6" s="8" t="s">
        <v>32</v>
      </c>
      <c r="D6" s="8">
        <v>76</v>
      </c>
      <c r="E6" s="8">
        <v>8621</v>
      </c>
      <c r="F6" s="8">
        <v>8705</v>
      </c>
    </row>
    <row r="7" spans="1:6" ht="15">
      <c r="A7" s="7" t="s">
        <v>35</v>
      </c>
      <c r="B7" s="8" t="s">
        <v>36</v>
      </c>
      <c r="C7" s="9" t="s">
        <v>37</v>
      </c>
      <c r="D7" s="8">
        <v>60</v>
      </c>
      <c r="E7" s="8">
        <v>6959</v>
      </c>
      <c r="F7" s="8">
        <v>6659</v>
      </c>
    </row>
    <row r="8" spans="1:6" ht="15">
      <c r="A8" s="7" t="s">
        <v>38</v>
      </c>
      <c r="B8" s="8" t="s">
        <v>39</v>
      </c>
      <c r="C8" s="8" t="s">
        <v>32</v>
      </c>
      <c r="D8" s="8">
        <v>44</v>
      </c>
      <c r="E8" s="8">
        <v>2939</v>
      </c>
      <c r="F8" s="8">
        <v>2969</v>
      </c>
    </row>
    <row r="9" spans="1:6" ht="15">
      <c r="A9" s="10" t="s">
        <v>38</v>
      </c>
      <c r="B9" s="9" t="s">
        <v>39</v>
      </c>
      <c r="C9" s="9" t="s">
        <v>32</v>
      </c>
      <c r="D9" s="9">
        <v>44</v>
      </c>
      <c r="E9" s="9">
        <v>2939</v>
      </c>
      <c r="F9" s="9">
        <v>2969</v>
      </c>
    </row>
    <row r="10" spans="1:6" ht="15">
      <c r="A10" s="7" t="s">
        <v>40</v>
      </c>
      <c r="B10" s="8" t="s">
        <v>41</v>
      </c>
      <c r="C10" s="8" t="s">
        <v>42</v>
      </c>
      <c r="D10" s="8">
        <v>20</v>
      </c>
      <c r="E10" s="8">
        <v>1246</v>
      </c>
      <c r="F10" s="8">
        <v>1325</v>
      </c>
    </row>
    <row r="11" spans="1:6" ht="15">
      <c r="A11" s="7" t="s">
        <v>43</v>
      </c>
      <c r="B11" s="9" t="s">
        <v>44</v>
      </c>
      <c r="C11" s="8" t="s">
        <v>42</v>
      </c>
      <c r="D11" s="8">
        <v>44</v>
      </c>
      <c r="E11" s="8">
        <v>3644</v>
      </c>
      <c r="F11" s="8">
        <v>3708</v>
      </c>
    </row>
    <row r="12" spans="1:6" ht="15">
      <c r="A12" s="7" t="s">
        <v>45</v>
      </c>
      <c r="B12" s="8" t="s">
        <v>46</v>
      </c>
      <c r="C12" s="8" t="s">
        <v>42</v>
      </c>
      <c r="D12" s="8">
        <v>28</v>
      </c>
      <c r="E12" s="8">
        <v>2481</v>
      </c>
      <c r="F12" s="8">
        <v>2495</v>
      </c>
    </row>
    <row r="13" spans="1:6" ht="15">
      <c r="A13" s="7" t="s">
        <v>47</v>
      </c>
      <c r="B13" s="8" t="s">
        <v>48</v>
      </c>
      <c r="C13" s="9" t="s">
        <v>49</v>
      </c>
      <c r="D13" s="8">
        <v>76</v>
      </c>
      <c r="E13" s="8">
        <v>8177</v>
      </c>
      <c r="F13" s="8">
        <v>8716</v>
      </c>
    </row>
    <row r="14" spans="1:6" ht="15">
      <c r="A14" s="7" t="s">
        <v>50</v>
      </c>
      <c r="B14" s="8" t="s">
        <v>51</v>
      </c>
      <c r="C14" s="8" t="s">
        <v>52</v>
      </c>
      <c r="D14" s="8">
        <v>20</v>
      </c>
      <c r="E14" s="8">
        <v>1904</v>
      </c>
      <c r="F14" s="8">
        <v>1914</v>
      </c>
    </row>
    <row r="15" spans="1:6" ht="15">
      <c r="A15" s="7" t="s">
        <v>53</v>
      </c>
      <c r="B15" s="8" t="s">
        <v>54</v>
      </c>
      <c r="C15" s="8" t="s">
        <v>52</v>
      </c>
      <c r="D15" s="8">
        <v>76</v>
      </c>
      <c r="E15" s="8">
        <v>7936</v>
      </c>
      <c r="F15" s="8">
        <v>8277</v>
      </c>
    </row>
    <row r="16" spans="1:6" ht="15">
      <c r="A16" s="7" t="s">
        <v>55</v>
      </c>
      <c r="B16" s="8" t="s">
        <v>56</v>
      </c>
      <c r="C16" s="8" t="s">
        <v>52</v>
      </c>
      <c r="D16" s="8">
        <v>32</v>
      </c>
      <c r="E16" s="9" t="s">
        <v>57</v>
      </c>
      <c r="F16" s="8">
        <v>3201</v>
      </c>
    </row>
    <row r="17" spans="1:6" ht="15">
      <c r="A17" s="7" t="s">
        <v>58</v>
      </c>
      <c r="B17" s="8" t="s">
        <v>59</v>
      </c>
      <c r="C17" s="8" t="s">
        <v>60</v>
      </c>
      <c r="D17" s="8">
        <v>48</v>
      </c>
      <c r="E17" s="8">
        <v>4237</v>
      </c>
      <c r="F17" s="8">
        <v>4218</v>
      </c>
    </row>
    <row r="18" spans="1:6" ht="15">
      <c r="A18" s="7" t="s">
        <v>61</v>
      </c>
      <c r="B18" s="8" t="s">
        <v>62</v>
      </c>
      <c r="C18" s="8" t="s">
        <v>60</v>
      </c>
      <c r="D18" s="8">
        <v>28</v>
      </c>
      <c r="E18" s="9"/>
      <c r="F18" s="8">
        <v>2533</v>
      </c>
    </row>
    <row r="19" spans="1:6" ht="15">
      <c r="A19" s="7" t="s">
        <v>63</v>
      </c>
      <c r="B19" s="8" t="s">
        <v>64</v>
      </c>
      <c r="C19" s="8" t="s">
        <v>60</v>
      </c>
      <c r="D19" s="8">
        <v>68</v>
      </c>
      <c r="E19" s="8">
        <v>5118</v>
      </c>
      <c r="F19" s="8">
        <v>5342</v>
      </c>
    </row>
    <row r="20" spans="1:6" ht="15">
      <c r="A20" s="7" t="s">
        <v>65</v>
      </c>
      <c r="B20" s="8" t="s">
        <v>66</v>
      </c>
      <c r="C20" s="8" t="s">
        <v>67</v>
      </c>
      <c r="D20" s="8">
        <v>32</v>
      </c>
      <c r="E20" s="8">
        <v>3607</v>
      </c>
      <c r="F20" s="8">
        <v>3624</v>
      </c>
    </row>
    <row r="21" spans="1:6" ht="15">
      <c r="A21" s="10" t="s">
        <v>65</v>
      </c>
      <c r="B21" s="9" t="s">
        <v>66</v>
      </c>
      <c r="C21" s="9" t="s">
        <v>67</v>
      </c>
      <c r="D21" s="9">
        <v>32</v>
      </c>
      <c r="E21" s="9">
        <v>3607</v>
      </c>
      <c r="F21" s="9">
        <v>3624</v>
      </c>
    </row>
    <row r="22" spans="1:6" ht="15">
      <c r="A22" s="7" t="s">
        <v>68</v>
      </c>
      <c r="B22" s="8" t="s">
        <v>69</v>
      </c>
      <c r="C22" s="8" t="s">
        <v>67</v>
      </c>
      <c r="D22" s="8">
        <v>52</v>
      </c>
      <c r="E22" s="8">
        <v>6518</v>
      </c>
      <c r="F22" s="8">
        <v>6201</v>
      </c>
    </row>
    <row r="23" spans="1:6" ht="15">
      <c r="A23" s="7" t="s">
        <v>70</v>
      </c>
      <c r="B23" s="8" t="s">
        <v>71</v>
      </c>
      <c r="C23" s="9" t="s">
        <v>72</v>
      </c>
      <c r="D23" s="8">
        <v>60</v>
      </c>
      <c r="E23" s="8">
        <v>8885</v>
      </c>
      <c r="F23" s="8">
        <v>8100</v>
      </c>
    </row>
    <row r="24" spans="1:6" ht="15">
      <c r="A24" s="7" t="s">
        <v>73</v>
      </c>
      <c r="B24" s="8" t="s">
        <v>74</v>
      </c>
      <c r="C24" s="8" t="s">
        <v>67</v>
      </c>
      <c r="D24" s="8">
        <v>40</v>
      </c>
      <c r="E24" s="8">
        <v>5959</v>
      </c>
      <c r="F24" s="8">
        <v>5394</v>
      </c>
    </row>
    <row r="25" spans="1:6" ht="15">
      <c r="A25" s="7" t="s">
        <v>75</v>
      </c>
      <c r="B25" s="8" t="s">
        <v>76</v>
      </c>
      <c r="C25" s="8" t="s">
        <v>67</v>
      </c>
      <c r="D25" s="8">
        <v>20</v>
      </c>
      <c r="E25" s="8">
        <v>3598</v>
      </c>
      <c r="F25" s="8">
        <v>3886</v>
      </c>
    </row>
    <row r="26" spans="1:6" ht="15">
      <c r="A26" s="7" t="s">
        <v>77</v>
      </c>
      <c r="B26" s="8" t="s">
        <v>78</v>
      </c>
      <c r="C26" s="8" t="s">
        <v>67</v>
      </c>
      <c r="D26" s="8">
        <v>40</v>
      </c>
      <c r="E26" s="9">
        <v>99999</v>
      </c>
      <c r="F26" s="8">
        <v>7074</v>
      </c>
    </row>
    <row r="27" spans="1:6" ht="15">
      <c r="A27" s="7" t="s">
        <v>79</v>
      </c>
      <c r="B27" s="8" t="s">
        <v>80</v>
      </c>
      <c r="C27" s="8" t="s">
        <v>81</v>
      </c>
      <c r="D27" s="8">
        <v>36</v>
      </c>
      <c r="E27" s="8">
        <v>3315</v>
      </c>
      <c r="F27" s="8">
        <v>3097</v>
      </c>
    </row>
    <row r="28" spans="1:6" ht="15">
      <c r="A28" s="7" t="s">
        <v>82</v>
      </c>
      <c r="B28" s="8" t="s">
        <v>83</v>
      </c>
      <c r="C28" s="9" t="s">
        <v>84</v>
      </c>
      <c r="D28" s="8">
        <v>48</v>
      </c>
      <c r="E28" s="8">
        <v>2795</v>
      </c>
      <c r="F28" s="8">
        <v>2854</v>
      </c>
    </row>
    <row r="29" spans="1:6" ht="15">
      <c r="A29" s="7" t="s">
        <v>85</v>
      </c>
      <c r="B29" s="8" t="s">
        <v>86</v>
      </c>
      <c r="C29" s="8" t="s">
        <v>81</v>
      </c>
      <c r="D29" s="8">
        <v>36</v>
      </c>
      <c r="E29" s="8">
        <v>2861</v>
      </c>
      <c r="F29" s="8">
        <v>3044</v>
      </c>
    </row>
    <row r="30" spans="1:6" ht="15">
      <c r="A30" s="7" t="s">
        <v>87</v>
      </c>
      <c r="B30" s="8" t="s">
        <v>88</v>
      </c>
      <c r="C30" s="8" t="s">
        <v>89</v>
      </c>
      <c r="D30" s="8">
        <v>48</v>
      </c>
      <c r="E30" s="8">
        <v>5349</v>
      </c>
      <c r="F30" s="8">
        <v>5358</v>
      </c>
    </row>
    <row r="31" spans="1:6" ht="15">
      <c r="A31" s="7" t="s">
        <v>90</v>
      </c>
      <c r="B31" s="8" t="s">
        <v>91</v>
      </c>
      <c r="C31" s="8" t="s">
        <v>89</v>
      </c>
      <c r="D31" s="8">
        <v>28</v>
      </c>
      <c r="E31" s="8">
        <v>2392</v>
      </c>
      <c r="F31" s="8">
        <v>2411</v>
      </c>
    </row>
    <row r="32" spans="1:6" ht="15">
      <c r="A32" s="7" t="s">
        <v>92</v>
      </c>
      <c r="B32" s="8" t="s">
        <v>93</v>
      </c>
      <c r="C32" s="8" t="s">
        <v>89</v>
      </c>
      <c r="D32" s="8">
        <v>48</v>
      </c>
      <c r="E32" s="8">
        <v>4795</v>
      </c>
      <c r="F32" s="8">
        <v>5173</v>
      </c>
    </row>
    <row r="33" spans="1:6" ht="15">
      <c r="A33" s="7" t="s">
        <v>94</v>
      </c>
      <c r="B33" s="8" t="s">
        <v>95</v>
      </c>
      <c r="C33" s="8" t="s">
        <v>89</v>
      </c>
      <c r="D33" s="8">
        <v>32</v>
      </c>
      <c r="E33" s="8">
        <v>3243</v>
      </c>
      <c r="F33" s="9" t="s">
        <v>96</v>
      </c>
    </row>
    <row r="34" spans="1:6" ht="15">
      <c r="A34" s="7" t="s">
        <v>97</v>
      </c>
      <c r="B34" s="8" t="s">
        <v>98</v>
      </c>
      <c r="C34" s="8" t="s">
        <v>99</v>
      </c>
      <c r="D34" s="8">
        <v>48</v>
      </c>
      <c r="E34" s="8">
        <v>4366</v>
      </c>
      <c r="F34" s="8">
        <v>4052</v>
      </c>
    </row>
    <row r="35" spans="1:6" ht="15">
      <c r="A35" s="7" t="s">
        <v>100</v>
      </c>
      <c r="B35" s="8" t="s">
        <v>101</v>
      </c>
      <c r="C35" s="8" t="s">
        <v>99</v>
      </c>
      <c r="D35" s="8">
        <v>28</v>
      </c>
      <c r="E35" s="8">
        <v>2584</v>
      </c>
      <c r="F35" s="8">
        <v>2379</v>
      </c>
    </row>
    <row r="36" spans="1:6" ht="15">
      <c r="A36" s="7" t="s">
        <v>102</v>
      </c>
      <c r="B36" s="8" t="s">
        <v>103</v>
      </c>
      <c r="C36" s="8" t="s">
        <v>99</v>
      </c>
      <c r="D36" s="8">
        <v>30</v>
      </c>
      <c r="E36" s="8">
        <v>2563</v>
      </c>
      <c r="F36" s="8">
        <v>2558</v>
      </c>
    </row>
    <row r="37" spans="1:6" ht="15">
      <c r="A37" s="7" t="s">
        <v>104</v>
      </c>
      <c r="B37" s="9" t="s">
        <v>105</v>
      </c>
      <c r="C37" s="8" t="s">
        <v>106</v>
      </c>
      <c r="D37" s="8">
        <v>28</v>
      </c>
      <c r="E37" s="8">
        <v>1502</v>
      </c>
      <c r="F37" s="8">
        <v>1604</v>
      </c>
    </row>
    <row r="38" spans="1:6" ht="15">
      <c r="A38" s="7" t="s">
        <v>107</v>
      </c>
      <c r="B38" s="8" t="s">
        <v>108</v>
      </c>
      <c r="C38" s="8" t="s">
        <v>106</v>
      </c>
      <c r="D38" s="8">
        <v>44</v>
      </c>
      <c r="E38" s="8">
        <v>2671</v>
      </c>
      <c r="F38" s="8">
        <v>2801</v>
      </c>
    </row>
    <row r="39" spans="1:6" ht="15">
      <c r="A39" s="7" t="s">
        <v>109</v>
      </c>
      <c r="B39" s="8" t="s">
        <v>110</v>
      </c>
      <c r="C39" s="8" t="s">
        <v>106</v>
      </c>
      <c r="D39" s="8">
        <v>20</v>
      </c>
      <c r="E39" s="8">
        <v>1381</v>
      </c>
      <c r="F39" s="8">
        <v>1490</v>
      </c>
    </row>
    <row r="40" spans="1:6" ht="15">
      <c r="A40" s="7" t="s">
        <v>111</v>
      </c>
      <c r="B40" s="8" t="s">
        <v>112</v>
      </c>
      <c r="C40" s="8" t="s">
        <v>113</v>
      </c>
      <c r="D40" s="8">
        <v>76</v>
      </c>
      <c r="E40" s="8">
        <v>6391</v>
      </c>
      <c r="F40" s="8">
        <v>6725</v>
      </c>
    </row>
    <row r="41" spans="1:6" ht="15">
      <c r="A41" s="7" t="s">
        <v>114</v>
      </c>
      <c r="B41" s="8" t="s">
        <v>115</v>
      </c>
      <c r="C41" s="8" t="s">
        <v>113</v>
      </c>
      <c r="D41" s="8">
        <v>60</v>
      </c>
      <c r="E41" s="8">
        <v>3880</v>
      </c>
      <c r="F41" s="9"/>
    </row>
    <row r="42" spans="1:6" ht="15">
      <c r="A42" s="7" t="s">
        <v>116</v>
      </c>
      <c r="B42" s="8" t="s">
        <v>117</v>
      </c>
      <c r="C42" s="8" t="s">
        <v>113</v>
      </c>
      <c r="D42" s="8">
        <v>28</v>
      </c>
      <c r="E42" s="8">
        <v>2737</v>
      </c>
      <c r="F42" s="8">
        <v>2993</v>
      </c>
    </row>
    <row r="43" spans="1:6" ht="15">
      <c r="A43" s="7" t="s">
        <v>118</v>
      </c>
      <c r="B43" s="8" t="s">
        <v>119</v>
      </c>
      <c r="C43" s="8" t="s">
        <v>120</v>
      </c>
      <c r="D43" s="8">
        <v>24</v>
      </c>
      <c r="E43" s="8">
        <v>1216</v>
      </c>
      <c r="F43" s="8">
        <v>1173</v>
      </c>
    </row>
    <row r="44" spans="1:6" ht="15">
      <c r="A44" s="7" t="s">
        <v>121</v>
      </c>
      <c r="B44" s="8" t="s">
        <v>122</v>
      </c>
      <c r="C44" s="8" t="s">
        <v>120</v>
      </c>
      <c r="D44" s="8">
        <v>68</v>
      </c>
      <c r="E44" s="8">
        <v>3651</v>
      </c>
      <c r="F44" s="8">
        <v>3850</v>
      </c>
    </row>
    <row r="45" spans="1:6" ht="15">
      <c r="A45" s="7" t="s">
        <v>123</v>
      </c>
      <c r="B45" s="8" t="s">
        <v>124</v>
      </c>
      <c r="C45" s="8" t="s">
        <v>120</v>
      </c>
      <c r="D45" s="8">
        <v>30</v>
      </c>
      <c r="E45" s="8">
        <v>2593</v>
      </c>
      <c r="F45" s="8">
        <v>2804</v>
      </c>
    </row>
    <row r="46" spans="1:6" ht="15">
      <c r="A46" s="10" t="s">
        <v>123</v>
      </c>
      <c r="B46" s="9" t="s">
        <v>124</v>
      </c>
      <c r="C46" s="9" t="s">
        <v>120</v>
      </c>
      <c r="D46" s="9">
        <v>30</v>
      </c>
      <c r="E46" s="9">
        <v>2593</v>
      </c>
      <c r="F46" s="9">
        <v>2804</v>
      </c>
    </row>
    <row r="47" spans="1:6" ht="15">
      <c r="A47" s="7" t="s">
        <v>125</v>
      </c>
      <c r="B47" s="8" t="s">
        <v>126</v>
      </c>
      <c r="C47" s="8" t="s">
        <v>127</v>
      </c>
      <c r="D47" s="8">
        <v>32</v>
      </c>
      <c r="E47" s="8">
        <v>2771</v>
      </c>
      <c r="F47" s="8">
        <v>2901</v>
      </c>
    </row>
    <row r="48" spans="1:6" ht="15">
      <c r="A48" s="7" t="s">
        <v>128</v>
      </c>
      <c r="B48" s="8" t="s">
        <v>129</v>
      </c>
      <c r="C48" s="8" t="s">
        <v>127</v>
      </c>
      <c r="D48" s="8">
        <v>36</v>
      </c>
      <c r="E48" s="8">
        <v>2765</v>
      </c>
      <c r="F48" s="8">
        <v>3027</v>
      </c>
    </row>
    <row r="49" spans="1:6" ht="15">
      <c r="A49" s="7" t="s">
        <v>130</v>
      </c>
      <c r="B49" s="8" t="s">
        <v>131</v>
      </c>
      <c r="C49" s="8" t="s">
        <v>127</v>
      </c>
      <c r="D49" s="8">
        <v>40</v>
      </c>
      <c r="E49" s="8">
        <v>1999</v>
      </c>
      <c r="F49" s="8">
        <v>1804</v>
      </c>
    </row>
    <row r="50" spans="1:6" ht="15">
      <c r="A50" s="7" t="s">
        <v>132</v>
      </c>
      <c r="B50" s="8" t="s">
        <v>133</v>
      </c>
      <c r="C50" s="8" t="s">
        <v>127</v>
      </c>
      <c r="D50" s="8">
        <v>30</v>
      </c>
      <c r="E50" s="8">
        <v>2538</v>
      </c>
      <c r="F50" s="8">
        <v>2729</v>
      </c>
    </row>
  </sheetData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0"/>
  <sheetViews>
    <sheetView workbookViewId="0">
      <pane ySplit="4" topLeftCell="A5" activePane="bottomLeft" state="frozen"/>
      <selection pane="bottomLeft"/>
    </sheetView>
  </sheetViews>
  <sheetFormatPr defaultRowHeight="14.5"/>
  <cols>
    <col min="1" max="1" width="12" customWidth="1"/>
    <col min="2" max="2" width="32" customWidth="1"/>
    <col min="3" max="3" width="12" customWidth="1"/>
    <col min="4" max="4" width="8" customWidth="1"/>
    <col min="5" max="6" width="11" customWidth="1"/>
    <col min="7" max="7" width="10" customWidth="1"/>
    <col min="8" max="8" width="8" customWidth="1"/>
    <col min="9" max="9" width="10" customWidth="1"/>
    <col min="10" max="10" width="9" customWidth="1"/>
  </cols>
  <sheetData>
    <row r="1" spans="1:16" ht="20.5">
      <c r="A1" s="1" t="s">
        <v>134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15">
      <c r="A2" s="2" t="s">
        <v>135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ht="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46" customHeight="1">
      <c r="A4" s="6" t="s">
        <v>24</v>
      </c>
      <c r="B4" s="6" t="s">
        <v>136</v>
      </c>
      <c r="C4" s="6" t="s">
        <v>137</v>
      </c>
      <c r="D4" s="6" t="s">
        <v>27</v>
      </c>
      <c r="E4" s="6" t="s">
        <v>138</v>
      </c>
      <c r="F4" s="6" t="s">
        <v>139</v>
      </c>
      <c r="G4" s="6" t="s">
        <v>140</v>
      </c>
      <c r="H4" s="6" t="s">
        <v>141</v>
      </c>
      <c r="I4" s="6" t="s">
        <v>142</v>
      </c>
      <c r="J4" s="6" t="s">
        <v>143</v>
      </c>
      <c r="K4" s="3"/>
      <c r="L4" s="19" t="s">
        <v>144</v>
      </c>
      <c r="M4" s="20"/>
      <c r="N4" s="20"/>
      <c r="O4" s="20"/>
      <c r="P4" s="20"/>
    </row>
    <row r="5" spans="1:16" ht="15">
      <c r="A5" s="11" t="str">
        <f>原始資料!A5</f>
        <v>500101021</v>
      </c>
      <c r="B5" s="11" t="str">
        <f>TRIM(原始資料!B5)</f>
        <v>YouBike2.0_捷運台電大樓站(2號出口)</v>
      </c>
      <c r="C5" s="11" t="str">
        <f>IF(RIGHT(TRIM(原始資料!C5),1)="區",TRIM(原始資料!C5),TRIM(原始資料!C5)&amp;"區")</f>
        <v>中正區</v>
      </c>
      <c r="D5" s="11">
        <f>原始資料!D5</f>
        <v>30</v>
      </c>
      <c r="E5" s="11">
        <f>IF(原始資料!E5="","",VALUE(SUBSTITUTE(原始資料!E5,",","")))</f>
        <v>3238</v>
      </c>
      <c r="F5" s="11">
        <f>IF(原始資料!F5="","",VALUE(SUBSTITUTE(原始資料!F5,",","")))</f>
        <v>3262</v>
      </c>
      <c r="G5" s="11" t="str">
        <f>IF(COUNTIFS($A$5:A5,A5,$B$5:B5,B5)&gt;1,"重複","")</f>
        <v/>
      </c>
      <c r="H5" s="11" t="str">
        <f t="shared" ref="H5:H50" si="0">IF(OR(E5="",F5=""),"缺值","")</f>
        <v/>
      </c>
      <c r="I5" s="11" t="str">
        <f t="shared" ref="I5:I50" si="1">IF(AND(E5&lt;&gt;"",E5&gt;20000),"異常","")</f>
        <v/>
      </c>
      <c r="J5" s="11" t="str">
        <f t="shared" ref="J5:J50" si="2">IF(AND(G5="",H5="",I5=""),"✔ 保留","✘ 刪除")</f>
        <v>✔ 保留</v>
      </c>
      <c r="K5" s="3"/>
      <c r="L5" s="20"/>
      <c r="M5" s="20"/>
      <c r="N5" s="20"/>
      <c r="O5" s="20"/>
      <c r="P5" s="20"/>
    </row>
    <row r="6" spans="1:16" ht="15">
      <c r="A6" s="11" t="str">
        <f>原始資料!A6</f>
        <v>500101045</v>
      </c>
      <c r="B6" s="11" t="str">
        <f>TRIM(原始資料!B6)</f>
        <v>YouBike2.0_臺大醫院</v>
      </c>
      <c r="C6" s="11" t="str">
        <f>IF(RIGHT(TRIM(原始資料!C6),1)="區",TRIM(原始資料!C6),TRIM(原始資料!C6)&amp;"區")</f>
        <v>中正區</v>
      </c>
      <c r="D6" s="11">
        <f>原始資料!D6</f>
        <v>76</v>
      </c>
      <c r="E6" s="11">
        <f>IF(原始資料!E6="","",VALUE(SUBSTITUTE(原始資料!E6,",","")))</f>
        <v>8621</v>
      </c>
      <c r="F6" s="11">
        <f>IF(原始資料!F6="","",VALUE(SUBSTITUTE(原始資料!F6,",","")))</f>
        <v>8705</v>
      </c>
      <c r="G6" s="11" t="str">
        <f>IF(COUNTIFS($A$5:A6,A6,$B$5:B6,B6)&gt;1,"重複","")</f>
        <v/>
      </c>
      <c r="H6" s="11" t="str">
        <f t="shared" si="0"/>
        <v/>
      </c>
      <c r="I6" s="11" t="str">
        <f t="shared" si="1"/>
        <v/>
      </c>
      <c r="J6" s="11" t="str">
        <f t="shared" si="2"/>
        <v>✔ 保留</v>
      </c>
      <c r="K6" s="3"/>
      <c r="L6" s="20"/>
      <c r="M6" s="20"/>
      <c r="N6" s="20"/>
      <c r="O6" s="20"/>
      <c r="P6" s="20"/>
    </row>
    <row r="7" spans="1:16" ht="15">
      <c r="A7" s="11" t="str">
        <f>原始資料!A7</f>
        <v>500101066</v>
      </c>
      <c r="B7" s="11" t="str">
        <f>TRIM(原始資料!B7)</f>
        <v>YouBike2.0_中正紀念堂</v>
      </c>
      <c r="C7" s="11" t="str">
        <f>IF(RIGHT(TRIM(原始資料!C7),1)="區",TRIM(原始資料!C7),TRIM(原始資料!C7)&amp;"區")</f>
        <v>中正區</v>
      </c>
      <c r="D7" s="11">
        <f>原始資料!D7</f>
        <v>60</v>
      </c>
      <c r="E7" s="11">
        <f>IF(原始資料!E7="","",VALUE(SUBSTITUTE(原始資料!E7,",","")))</f>
        <v>6959</v>
      </c>
      <c r="F7" s="11">
        <f>IF(原始資料!F7="","",VALUE(SUBSTITUTE(原始資料!F7,",","")))</f>
        <v>6659</v>
      </c>
      <c r="G7" s="11" t="str">
        <f>IF(COUNTIFS($A$5:A7,A7,$B$5:B7,B7)&gt;1,"重複","")</f>
        <v/>
      </c>
      <c r="H7" s="11" t="str">
        <f t="shared" si="0"/>
        <v/>
      </c>
      <c r="I7" s="11" t="str">
        <f t="shared" si="1"/>
        <v/>
      </c>
      <c r="J7" s="11" t="str">
        <f t="shared" si="2"/>
        <v>✔ 保留</v>
      </c>
      <c r="K7" s="3"/>
      <c r="L7" s="20"/>
      <c r="M7" s="20"/>
      <c r="N7" s="20"/>
      <c r="O7" s="20"/>
      <c r="P7" s="20"/>
    </row>
    <row r="8" spans="1:16" ht="15">
      <c r="A8" s="11" t="str">
        <f>原始資料!A8</f>
        <v>500101090</v>
      </c>
      <c r="B8" s="11" t="str">
        <f>TRIM(原始資料!B8)</f>
        <v>YouBike2.0_捷運古亭站(5號出口)</v>
      </c>
      <c r="C8" s="11" t="str">
        <f>IF(RIGHT(TRIM(原始資料!C8),1)="區",TRIM(原始資料!C8),TRIM(原始資料!C8)&amp;"區")</f>
        <v>中正區</v>
      </c>
      <c r="D8" s="11">
        <f>原始資料!D8</f>
        <v>44</v>
      </c>
      <c r="E8" s="11">
        <f>IF(原始資料!E8="","",VALUE(SUBSTITUTE(原始資料!E8,",","")))</f>
        <v>2939</v>
      </c>
      <c r="F8" s="11">
        <f>IF(原始資料!F8="","",VALUE(SUBSTITUTE(原始資料!F8,",","")))</f>
        <v>2969</v>
      </c>
      <c r="G8" s="11" t="str">
        <f>IF(COUNTIFS($A$5:A8,A8,$B$5:B8,B8)&gt;1,"重複","")</f>
        <v/>
      </c>
      <c r="H8" s="11" t="str">
        <f t="shared" si="0"/>
        <v/>
      </c>
      <c r="I8" s="11" t="str">
        <f t="shared" si="1"/>
        <v/>
      </c>
      <c r="J8" s="11" t="str">
        <f t="shared" si="2"/>
        <v>✔ 保留</v>
      </c>
      <c r="K8" s="3"/>
      <c r="L8" s="20"/>
      <c r="M8" s="20"/>
      <c r="N8" s="20"/>
      <c r="O8" s="20"/>
      <c r="P8" s="20"/>
    </row>
    <row r="9" spans="1:16" ht="15">
      <c r="A9" s="11" t="str">
        <f>原始資料!A9</f>
        <v>500101090</v>
      </c>
      <c r="B9" s="11" t="str">
        <f>TRIM(原始資料!B9)</f>
        <v>YouBike2.0_捷運古亭站(5號出口)</v>
      </c>
      <c r="C9" s="11" t="str">
        <f>IF(RIGHT(TRIM(原始資料!C9),1)="區",TRIM(原始資料!C9),TRIM(原始資料!C9)&amp;"區")</f>
        <v>中正區</v>
      </c>
      <c r="D9" s="11">
        <f>原始資料!D9</f>
        <v>44</v>
      </c>
      <c r="E9" s="11">
        <f>IF(原始資料!E9="","",VALUE(SUBSTITUTE(原始資料!E9,",","")))</f>
        <v>2939</v>
      </c>
      <c r="F9" s="11">
        <f>IF(原始資料!F9="","",VALUE(SUBSTITUTE(原始資料!F9,",","")))</f>
        <v>2969</v>
      </c>
      <c r="G9" s="11" t="str">
        <f>IF(COUNTIFS($A$5:A9,A9,$B$5:B9,B9)&gt;1,"重複","")</f>
        <v>重複</v>
      </c>
      <c r="H9" s="11" t="str">
        <f t="shared" si="0"/>
        <v/>
      </c>
      <c r="I9" s="11" t="str">
        <f t="shared" si="1"/>
        <v/>
      </c>
      <c r="J9" s="11" t="str">
        <f t="shared" si="2"/>
        <v>✘ 刪除</v>
      </c>
      <c r="K9" s="3"/>
      <c r="L9" s="20"/>
      <c r="M9" s="20"/>
      <c r="N9" s="20"/>
      <c r="O9" s="20"/>
      <c r="P9" s="20"/>
    </row>
    <row r="10" spans="1:16" ht="15">
      <c r="A10" s="11" t="str">
        <f>原始資料!A10</f>
        <v>500101102</v>
      </c>
      <c r="B10" s="11" t="str">
        <f>TRIM(原始資料!B10)</f>
        <v>YouBike2.0_捷運雙連站(1號出口)</v>
      </c>
      <c r="C10" s="11" t="str">
        <f>IF(RIGHT(TRIM(原始資料!C10),1)="區",TRIM(原始資料!C10),TRIM(原始資料!C10)&amp;"區")</f>
        <v>大同區</v>
      </c>
      <c r="D10" s="11">
        <f>原始資料!D10</f>
        <v>20</v>
      </c>
      <c r="E10" s="11">
        <f>IF(原始資料!E10="","",VALUE(SUBSTITUTE(原始資料!E10,",","")))</f>
        <v>1246</v>
      </c>
      <c r="F10" s="11">
        <f>IF(原始資料!F10="","",VALUE(SUBSTITUTE(原始資料!F10,",","")))</f>
        <v>1325</v>
      </c>
      <c r="G10" s="11" t="str">
        <f>IF(COUNTIFS($A$5:A10,A10,$B$5:B10,B10)&gt;1,"重複","")</f>
        <v/>
      </c>
      <c r="H10" s="11" t="str">
        <f t="shared" si="0"/>
        <v/>
      </c>
      <c r="I10" s="11" t="str">
        <f t="shared" si="1"/>
        <v/>
      </c>
      <c r="J10" s="11" t="str">
        <f t="shared" si="2"/>
        <v>✔ 保留</v>
      </c>
      <c r="K10" s="3"/>
      <c r="L10" s="20"/>
      <c r="M10" s="20"/>
      <c r="N10" s="20"/>
      <c r="O10" s="20"/>
      <c r="P10" s="20"/>
    </row>
    <row r="11" spans="1:16" ht="15">
      <c r="A11" s="11" t="str">
        <f>原始資料!A11</f>
        <v>500101116</v>
      </c>
      <c r="B11" s="11" t="str">
        <f>TRIM(原始資料!B11)</f>
        <v>YouBike2.0_大稻埕碼頭</v>
      </c>
      <c r="C11" s="11" t="str">
        <f>IF(RIGHT(TRIM(原始資料!C11),1)="區",TRIM(原始資料!C11),TRIM(原始資料!C11)&amp;"區")</f>
        <v>大同區</v>
      </c>
      <c r="D11" s="11">
        <f>原始資料!D11</f>
        <v>44</v>
      </c>
      <c r="E11" s="11">
        <f>IF(原始資料!E11="","",VALUE(SUBSTITUTE(原始資料!E11,",","")))</f>
        <v>3644</v>
      </c>
      <c r="F11" s="11">
        <f>IF(原始資料!F11="","",VALUE(SUBSTITUTE(原始資料!F11,",","")))</f>
        <v>3708</v>
      </c>
      <c r="G11" s="11" t="str">
        <f>IF(COUNTIFS($A$5:A11,A11,$B$5:B11,B11)&gt;1,"重複","")</f>
        <v/>
      </c>
      <c r="H11" s="11" t="str">
        <f t="shared" si="0"/>
        <v/>
      </c>
      <c r="I11" s="11" t="str">
        <f t="shared" si="1"/>
        <v/>
      </c>
      <c r="J11" s="11" t="str">
        <f t="shared" si="2"/>
        <v>✔ 保留</v>
      </c>
      <c r="K11" s="3"/>
      <c r="L11" s="20"/>
      <c r="M11" s="20"/>
      <c r="N11" s="20"/>
      <c r="O11" s="20"/>
      <c r="P11" s="20"/>
    </row>
    <row r="12" spans="1:16" ht="15">
      <c r="A12" s="11" t="str">
        <f>原始資料!A12</f>
        <v>500101129</v>
      </c>
      <c r="B12" s="11" t="str">
        <f>TRIM(原始資料!B12)</f>
        <v>YouBike2.0_捷運圓山站(2號出口)</v>
      </c>
      <c r="C12" s="11" t="str">
        <f>IF(RIGHT(TRIM(原始資料!C12),1)="區",TRIM(原始資料!C12),TRIM(原始資料!C12)&amp;"區")</f>
        <v>大同區</v>
      </c>
      <c r="D12" s="11">
        <f>原始資料!D12</f>
        <v>28</v>
      </c>
      <c r="E12" s="11">
        <f>IF(原始資料!E12="","",VALUE(SUBSTITUTE(原始資料!E12,",","")))</f>
        <v>2481</v>
      </c>
      <c r="F12" s="11">
        <f>IF(原始資料!F12="","",VALUE(SUBSTITUTE(原始資料!F12,",","")))</f>
        <v>2495</v>
      </c>
      <c r="G12" s="11" t="str">
        <f>IF(COUNTIFS($A$5:A12,A12,$B$5:B12,B12)&gt;1,"重複","")</f>
        <v/>
      </c>
      <c r="H12" s="11" t="str">
        <f t="shared" si="0"/>
        <v/>
      </c>
      <c r="I12" s="11" t="str">
        <f t="shared" si="1"/>
        <v/>
      </c>
      <c r="J12" s="11" t="str">
        <f t="shared" si="2"/>
        <v>✔ 保留</v>
      </c>
      <c r="K12" s="3"/>
      <c r="L12" s="20"/>
      <c r="M12" s="20"/>
      <c r="N12" s="20"/>
      <c r="O12" s="20"/>
      <c r="P12" s="20"/>
    </row>
    <row r="13" spans="1:16" ht="15">
      <c r="A13" s="11" t="str">
        <f>原始資料!A13</f>
        <v>500101141</v>
      </c>
      <c r="B13" s="11" t="str">
        <f>TRIM(原始資料!B13)</f>
        <v>YouBike2.0_捷運中山站(4號出口)</v>
      </c>
      <c r="C13" s="11" t="str">
        <f>IF(RIGHT(TRIM(原始資料!C13),1)="區",TRIM(原始資料!C13),TRIM(原始資料!C13)&amp;"區")</f>
        <v>中山區</v>
      </c>
      <c r="D13" s="11">
        <f>原始資料!D13</f>
        <v>76</v>
      </c>
      <c r="E13" s="11">
        <f>IF(原始資料!E13="","",VALUE(SUBSTITUTE(原始資料!E13,",","")))</f>
        <v>8177</v>
      </c>
      <c r="F13" s="11">
        <f>IF(原始資料!F13="","",VALUE(SUBSTITUTE(原始資料!F13,",","")))</f>
        <v>8716</v>
      </c>
      <c r="G13" s="11" t="str">
        <f>IF(COUNTIFS($A$5:A13,A13,$B$5:B13,B13)&gt;1,"重複","")</f>
        <v/>
      </c>
      <c r="H13" s="11" t="str">
        <f t="shared" si="0"/>
        <v/>
      </c>
      <c r="I13" s="11" t="str">
        <f t="shared" si="1"/>
        <v/>
      </c>
      <c r="J13" s="11" t="str">
        <f t="shared" si="2"/>
        <v>✔ 保留</v>
      </c>
      <c r="K13" s="3"/>
      <c r="L13" s="20"/>
      <c r="M13" s="20"/>
      <c r="N13" s="20"/>
      <c r="O13" s="20"/>
      <c r="P13" s="20"/>
    </row>
    <row r="14" spans="1:16" ht="15">
      <c r="A14" s="11" t="str">
        <f>原始資料!A14</f>
        <v>500101171</v>
      </c>
      <c r="B14" s="11" t="str">
        <f>TRIM(原始資料!B14)</f>
        <v>YouBike2.0_行天宮</v>
      </c>
      <c r="C14" s="11" t="str">
        <f>IF(RIGHT(TRIM(原始資料!C14),1)="區",TRIM(原始資料!C14),TRIM(原始資料!C14)&amp;"區")</f>
        <v>中山區</v>
      </c>
      <c r="D14" s="11">
        <f>原始資料!D14</f>
        <v>20</v>
      </c>
      <c r="E14" s="11">
        <f>IF(原始資料!E14="","",VALUE(SUBSTITUTE(原始資料!E14,",","")))</f>
        <v>1904</v>
      </c>
      <c r="F14" s="11">
        <f>IF(原始資料!F14="","",VALUE(SUBSTITUTE(原始資料!F14,",","")))</f>
        <v>1914</v>
      </c>
      <c r="G14" s="11" t="str">
        <f>IF(COUNTIFS($A$5:A14,A14,$B$5:B14,B14)&gt;1,"重複","")</f>
        <v/>
      </c>
      <c r="H14" s="11" t="str">
        <f t="shared" si="0"/>
        <v/>
      </c>
      <c r="I14" s="11" t="str">
        <f t="shared" si="1"/>
        <v/>
      </c>
      <c r="J14" s="11" t="str">
        <f t="shared" si="2"/>
        <v>✔ 保留</v>
      </c>
      <c r="K14" s="3"/>
      <c r="L14" s="20"/>
      <c r="M14" s="20"/>
      <c r="N14" s="20"/>
      <c r="O14" s="20"/>
      <c r="P14" s="20"/>
    </row>
    <row r="15" spans="1:16" ht="15">
      <c r="A15" s="11" t="str">
        <f>原始資料!A15</f>
        <v>500101189</v>
      </c>
      <c r="B15" s="11" t="str">
        <f>TRIM(原始資料!B15)</f>
        <v>YouBike2.0_捷運民權西路站(9號出口)</v>
      </c>
      <c r="C15" s="11" t="str">
        <f>IF(RIGHT(TRIM(原始資料!C15),1)="區",TRIM(原始資料!C15),TRIM(原始資料!C15)&amp;"區")</f>
        <v>中山區</v>
      </c>
      <c r="D15" s="11">
        <f>原始資料!D15</f>
        <v>76</v>
      </c>
      <c r="E15" s="11">
        <f>IF(原始資料!E15="","",VALUE(SUBSTITUTE(原始資料!E15,",","")))</f>
        <v>7936</v>
      </c>
      <c r="F15" s="11">
        <f>IF(原始資料!F15="","",VALUE(SUBSTITUTE(原始資料!F15,",","")))</f>
        <v>8277</v>
      </c>
      <c r="G15" s="11" t="str">
        <f>IF(COUNTIFS($A$5:A15,A15,$B$5:B15,B15)&gt;1,"重複","")</f>
        <v/>
      </c>
      <c r="H15" s="11" t="str">
        <f t="shared" si="0"/>
        <v/>
      </c>
      <c r="I15" s="11" t="str">
        <f t="shared" si="1"/>
        <v/>
      </c>
      <c r="J15" s="11" t="str">
        <f t="shared" si="2"/>
        <v>✔ 保留</v>
      </c>
      <c r="K15" s="3"/>
      <c r="L15" s="3"/>
      <c r="M15" s="3"/>
      <c r="N15" s="3"/>
      <c r="O15" s="3"/>
      <c r="P15" s="3"/>
    </row>
    <row r="16" spans="1:16" ht="15">
      <c r="A16" s="11" t="str">
        <f>原始資料!A16</f>
        <v>500101206</v>
      </c>
      <c r="B16" s="11" t="str">
        <f>TRIM(原始資料!B16)</f>
        <v>YouBike2.0_花博公園</v>
      </c>
      <c r="C16" s="11" t="str">
        <f>IF(RIGHT(TRIM(原始資料!C16),1)="區",TRIM(原始資料!C16),TRIM(原始資料!C16)&amp;"區")</f>
        <v>中山區</v>
      </c>
      <c r="D16" s="11">
        <f>原始資料!D16</f>
        <v>32</v>
      </c>
      <c r="E16" s="11">
        <f>IF(原始資料!E16="","",VALUE(SUBSTITUTE(原始資料!E16,",","")))</f>
        <v>3259</v>
      </c>
      <c r="F16" s="11">
        <f>IF(原始資料!F16="","",VALUE(SUBSTITUTE(原始資料!F16,",","")))</f>
        <v>3201</v>
      </c>
      <c r="G16" s="11" t="str">
        <f>IF(COUNTIFS($A$5:A16,A16,$B$5:B16,B16)&gt;1,"重複","")</f>
        <v/>
      </c>
      <c r="H16" s="11" t="str">
        <f t="shared" si="0"/>
        <v/>
      </c>
      <c r="I16" s="11" t="str">
        <f t="shared" si="1"/>
        <v/>
      </c>
      <c r="J16" s="11" t="str">
        <f t="shared" si="2"/>
        <v>✔ 保留</v>
      </c>
      <c r="K16" s="3"/>
      <c r="L16" s="3"/>
      <c r="M16" s="3"/>
      <c r="N16" s="3"/>
      <c r="O16" s="3"/>
      <c r="P16" s="3"/>
    </row>
    <row r="17" spans="1:16" ht="15">
      <c r="A17" s="11" t="str">
        <f>原始資料!A17</f>
        <v>500101232</v>
      </c>
      <c r="B17" s="11" t="str">
        <f>TRIM(原始資料!B17)</f>
        <v>YouBike2.0_捷運南京三民站</v>
      </c>
      <c r="C17" s="11" t="str">
        <f>IF(RIGHT(TRIM(原始資料!C17),1)="區",TRIM(原始資料!C17),TRIM(原始資料!C17)&amp;"區")</f>
        <v>松山區</v>
      </c>
      <c r="D17" s="11">
        <f>原始資料!D17</f>
        <v>48</v>
      </c>
      <c r="E17" s="11">
        <f>IF(原始資料!E17="","",VALUE(SUBSTITUTE(原始資料!E17,",","")))</f>
        <v>4237</v>
      </c>
      <c r="F17" s="11">
        <f>IF(原始資料!F17="","",VALUE(SUBSTITUTE(原始資料!F17,",","")))</f>
        <v>4218</v>
      </c>
      <c r="G17" s="11" t="str">
        <f>IF(COUNTIFS($A$5:A17,A17,$B$5:B17,B17)&gt;1,"重複","")</f>
        <v/>
      </c>
      <c r="H17" s="11" t="str">
        <f t="shared" si="0"/>
        <v/>
      </c>
      <c r="I17" s="11" t="str">
        <f t="shared" si="1"/>
        <v/>
      </c>
      <c r="J17" s="11" t="str">
        <f t="shared" si="2"/>
        <v>✔ 保留</v>
      </c>
      <c r="K17" s="3"/>
      <c r="L17" s="3"/>
      <c r="M17" s="3"/>
      <c r="N17" s="3"/>
      <c r="O17" s="3"/>
      <c r="P17" s="3"/>
    </row>
    <row r="18" spans="1:16" ht="15">
      <c r="A18" s="11" t="str">
        <f>原始資料!A18</f>
        <v>500101256</v>
      </c>
      <c r="B18" s="11" t="str">
        <f>TRIM(原始資料!B18)</f>
        <v>YouBike2.0_松山車站</v>
      </c>
      <c r="C18" s="11" t="str">
        <f>IF(RIGHT(TRIM(原始資料!C18),1)="區",TRIM(原始資料!C18),TRIM(原始資料!C18)&amp;"區")</f>
        <v>松山區</v>
      </c>
      <c r="D18" s="11">
        <f>原始資料!D18</f>
        <v>28</v>
      </c>
      <c r="E18" s="11" t="str">
        <f>IF(原始資料!E18="","",VALUE(SUBSTITUTE(原始資料!E18,",","")))</f>
        <v/>
      </c>
      <c r="F18" s="11">
        <f>IF(原始資料!F18="","",VALUE(SUBSTITUTE(原始資料!F18,",","")))</f>
        <v>2533</v>
      </c>
      <c r="G18" s="11" t="str">
        <f>IF(COUNTIFS($A$5:A18,A18,$B$5:B18,B18)&gt;1,"重複","")</f>
        <v/>
      </c>
      <c r="H18" s="11" t="str">
        <f t="shared" si="0"/>
        <v>缺值</v>
      </c>
      <c r="I18" s="11" t="str">
        <f t="shared" si="1"/>
        <v/>
      </c>
      <c r="J18" s="11" t="str">
        <f t="shared" si="2"/>
        <v>✘ 刪除</v>
      </c>
      <c r="K18" s="3"/>
      <c r="L18" s="3"/>
      <c r="M18" s="3"/>
      <c r="N18" s="3"/>
      <c r="O18" s="3"/>
      <c r="P18" s="3"/>
    </row>
    <row r="19" spans="1:16" ht="15">
      <c r="A19" s="11" t="str">
        <f>原始資料!A19</f>
        <v>500101284</v>
      </c>
      <c r="B19" s="11" t="str">
        <f>TRIM(原始資料!B19)</f>
        <v>YouBike2.0_臺北小巨蛋</v>
      </c>
      <c r="C19" s="11" t="str">
        <f>IF(RIGHT(TRIM(原始資料!C19),1)="區",TRIM(原始資料!C19),TRIM(原始資料!C19)&amp;"區")</f>
        <v>松山區</v>
      </c>
      <c r="D19" s="11">
        <f>原始資料!D19</f>
        <v>68</v>
      </c>
      <c r="E19" s="11">
        <f>IF(原始資料!E19="","",VALUE(SUBSTITUTE(原始資料!E19,",","")))</f>
        <v>5118</v>
      </c>
      <c r="F19" s="11">
        <f>IF(原始資料!F19="","",VALUE(SUBSTITUTE(原始資料!F19,",","")))</f>
        <v>5342</v>
      </c>
      <c r="G19" s="11" t="str">
        <f>IF(COUNTIFS($A$5:A19,A19,$B$5:B19,B19)&gt;1,"重複","")</f>
        <v/>
      </c>
      <c r="H19" s="11" t="str">
        <f t="shared" si="0"/>
        <v/>
      </c>
      <c r="I19" s="11" t="str">
        <f t="shared" si="1"/>
        <v/>
      </c>
      <c r="J19" s="11" t="str">
        <f t="shared" si="2"/>
        <v>✔ 保留</v>
      </c>
      <c r="K19" s="3"/>
      <c r="L19" s="3"/>
      <c r="M19" s="3"/>
      <c r="N19" s="3"/>
      <c r="O19" s="3"/>
      <c r="P19" s="3"/>
    </row>
    <row r="20" spans="1:16" ht="15">
      <c r="A20" s="11" t="str">
        <f>原始資料!A20</f>
        <v>500101315</v>
      </c>
      <c r="B20" s="11" t="str">
        <f>TRIM(原始資料!B20)</f>
        <v>YouBike2.0_捷運公館站(2號出口)</v>
      </c>
      <c r="C20" s="11" t="str">
        <f>IF(RIGHT(TRIM(原始資料!C20),1)="區",TRIM(原始資料!C20),TRIM(原始資料!C20)&amp;"區")</f>
        <v>大安區</v>
      </c>
      <c r="D20" s="11">
        <f>原始資料!D20</f>
        <v>32</v>
      </c>
      <c r="E20" s="11">
        <f>IF(原始資料!E20="","",VALUE(SUBSTITUTE(原始資料!E20,",","")))</f>
        <v>3607</v>
      </c>
      <c r="F20" s="11">
        <f>IF(原始資料!F20="","",VALUE(SUBSTITUTE(原始資料!F20,",","")))</f>
        <v>3624</v>
      </c>
      <c r="G20" s="11" t="str">
        <f>IF(COUNTIFS($A$5:A20,A20,$B$5:B20,B20)&gt;1,"重複","")</f>
        <v/>
      </c>
      <c r="H20" s="11" t="str">
        <f t="shared" si="0"/>
        <v/>
      </c>
      <c r="I20" s="11" t="str">
        <f t="shared" si="1"/>
        <v/>
      </c>
      <c r="J20" s="11" t="str">
        <f t="shared" si="2"/>
        <v>✔ 保留</v>
      </c>
      <c r="K20" s="3"/>
      <c r="L20" s="3"/>
      <c r="M20" s="3"/>
      <c r="N20" s="3"/>
      <c r="O20" s="3"/>
      <c r="P20" s="3"/>
    </row>
    <row r="21" spans="1:16" ht="15">
      <c r="A21" s="11" t="str">
        <f>原始資料!A21</f>
        <v>500101315</v>
      </c>
      <c r="B21" s="11" t="str">
        <f>TRIM(原始資料!B21)</f>
        <v>YouBike2.0_捷運公館站(2號出口)</v>
      </c>
      <c r="C21" s="11" t="str">
        <f>IF(RIGHT(TRIM(原始資料!C21),1)="區",TRIM(原始資料!C21),TRIM(原始資料!C21)&amp;"區")</f>
        <v>大安區</v>
      </c>
      <c r="D21" s="11">
        <f>原始資料!D21</f>
        <v>32</v>
      </c>
      <c r="E21" s="11">
        <f>IF(原始資料!E21="","",VALUE(SUBSTITUTE(原始資料!E21,",","")))</f>
        <v>3607</v>
      </c>
      <c r="F21" s="11">
        <f>IF(原始資料!F21="","",VALUE(SUBSTITUTE(原始資料!F21,",","")))</f>
        <v>3624</v>
      </c>
      <c r="G21" s="11" t="str">
        <f>IF(COUNTIFS($A$5:A21,A21,$B$5:B21,B21)&gt;1,"重複","")</f>
        <v>重複</v>
      </c>
      <c r="H21" s="11" t="str">
        <f t="shared" si="0"/>
        <v/>
      </c>
      <c r="I21" s="11" t="str">
        <f t="shared" si="1"/>
        <v/>
      </c>
      <c r="J21" s="11" t="str">
        <f t="shared" si="2"/>
        <v>✘ 刪除</v>
      </c>
      <c r="K21" s="3"/>
      <c r="L21" s="3"/>
      <c r="M21" s="3"/>
      <c r="N21" s="3"/>
      <c r="O21" s="3"/>
      <c r="P21" s="3"/>
    </row>
    <row r="22" spans="1:16" ht="15">
      <c r="A22" s="11" t="str">
        <f>原始資料!A22</f>
        <v>500101326</v>
      </c>
      <c r="B22" s="11" t="str">
        <f>TRIM(原始資料!B22)</f>
        <v>YouBike2.0_臺大總圖</v>
      </c>
      <c r="C22" s="11" t="str">
        <f>IF(RIGHT(TRIM(原始資料!C22),1)="區",TRIM(原始資料!C22),TRIM(原始資料!C22)&amp;"區")</f>
        <v>大安區</v>
      </c>
      <c r="D22" s="11">
        <f>原始資料!D22</f>
        <v>52</v>
      </c>
      <c r="E22" s="11">
        <f>IF(原始資料!E22="","",VALUE(SUBSTITUTE(原始資料!E22,",","")))</f>
        <v>6518</v>
      </c>
      <c r="F22" s="11">
        <f>IF(原始資料!F22="","",VALUE(SUBSTITUTE(原始資料!F22,",","")))</f>
        <v>6201</v>
      </c>
      <c r="G22" s="11" t="str">
        <f>IF(COUNTIFS($A$5:A22,A22,$B$5:B22,B22)&gt;1,"重複","")</f>
        <v/>
      </c>
      <c r="H22" s="11" t="str">
        <f t="shared" si="0"/>
        <v/>
      </c>
      <c r="I22" s="11" t="str">
        <f t="shared" si="1"/>
        <v/>
      </c>
      <c r="J22" s="11" t="str">
        <f t="shared" si="2"/>
        <v>✔ 保留</v>
      </c>
      <c r="K22" s="3"/>
      <c r="L22" s="3"/>
      <c r="M22" s="3"/>
      <c r="N22" s="3"/>
      <c r="O22" s="3"/>
      <c r="P22" s="3"/>
    </row>
    <row r="23" spans="1:16" ht="15">
      <c r="A23" s="11" t="str">
        <f>原始資料!A23</f>
        <v>500101363</v>
      </c>
      <c r="B23" s="11" t="str">
        <f>TRIM(原始資料!B23)</f>
        <v>YouBike2.0_捷運大安站</v>
      </c>
      <c r="C23" s="11" t="str">
        <f>IF(RIGHT(TRIM(原始資料!C23),1)="區",TRIM(原始資料!C23),TRIM(原始資料!C23)&amp;"區")</f>
        <v>大安區</v>
      </c>
      <c r="D23" s="11">
        <f>原始資料!D23</f>
        <v>60</v>
      </c>
      <c r="E23" s="11">
        <f>IF(原始資料!E23="","",VALUE(SUBSTITUTE(原始資料!E23,",","")))</f>
        <v>8885</v>
      </c>
      <c r="F23" s="11">
        <f>IF(原始資料!F23="","",VALUE(SUBSTITUTE(原始資料!F23,",","")))</f>
        <v>8100</v>
      </c>
      <c r="G23" s="11" t="str">
        <f>IF(COUNTIFS($A$5:A23,A23,$B$5:B23,B23)&gt;1,"重複","")</f>
        <v/>
      </c>
      <c r="H23" s="11" t="str">
        <f t="shared" si="0"/>
        <v/>
      </c>
      <c r="I23" s="11" t="str">
        <f t="shared" si="1"/>
        <v/>
      </c>
      <c r="J23" s="11" t="str">
        <f t="shared" si="2"/>
        <v>✔ 保留</v>
      </c>
      <c r="K23" s="3"/>
      <c r="L23" s="3"/>
      <c r="M23" s="3"/>
      <c r="N23" s="3"/>
      <c r="O23" s="3"/>
      <c r="P23" s="3"/>
    </row>
    <row r="24" spans="1:16" ht="15">
      <c r="A24" s="11" t="str">
        <f>原始資料!A24</f>
        <v>500101371</v>
      </c>
      <c r="B24" s="11" t="str">
        <f>TRIM(原始資料!B24)</f>
        <v>YouBike2.0_師大分部</v>
      </c>
      <c r="C24" s="11" t="str">
        <f>IF(RIGHT(TRIM(原始資料!C24),1)="區",TRIM(原始資料!C24),TRIM(原始資料!C24)&amp;"區")</f>
        <v>大安區</v>
      </c>
      <c r="D24" s="11">
        <f>原始資料!D24</f>
        <v>40</v>
      </c>
      <c r="E24" s="11">
        <f>IF(原始資料!E24="","",VALUE(SUBSTITUTE(原始資料!E24,",","")))</f>
        <v>5959</v>
      </c>
      <c r="F24" s="11">
        <f>IF(原始資料!F24="","",VALUE(SUBSTITUTE(原始資料!F24,",","")))</f>
        <v>5394</v>
      </c>
      <c r="G24" s="11" t="str">
        <f>IF(COUNTIFS($A$5:A24,A24,$B$5:B24,B24)&gt;1,"重複","")</f>
        <v/>
      </c>
      <c r="H24" s="11" t="str">
        <f t="shared" si="0"/>
        <v/>
      </c>
      <c r="I24" s="11" t="str">
        <f t="shared" si="1"/>
        <v/>
      </c>
      <c r="J24" s="11" t="str">
        <f t="shared" si="2"/>
        <v>✔ 保留</v>
      </c>
      <c r="K24" s="3"/>
      <c r="L24" s="3"/>
      <c r="M24" s="3"/>
      <c r="N24" s="3"/>
      <c r="O24" s="3"/>
      <c r="P24" s="3"/>
    </row>
    <row r="25" spans="1:16" ht="15">
      <c r="A25" s="11" t="str">
        <f>原始資料!A25</f>
        <v>500101382</v>
      </c>
      <c r="B25" s="11" t="str">
        <f>TRIM(原始資料!B25)</f>
        <v>YouBike2.0_捷運忠孝復興站</v>
      </c>
      <c r="C25" s="11" t="str">
        <f>IF(RIGHT(TRIM(原始資料!C25),1)="區",TRIM(原始資料!C25),TRIM(原始資料!C25)&amp;"區")</f>
        <v>大安區</v>
      </c>
      <c r="D25" s="11">
        <f>原始資料!D25</f>
        <v>20</v>
      </c>
      <c r="E25" s="11">
        <f>IF(原始資料!E25="","",VALUE(SUBSTITUTE(原始資料!E25,",","")))</f>
        <v>3598</v>
      </c>
      <c r="F25" s="11">
        <f>IF(原始資料!F25="","",VALUE(SUBSTITUTE(原始資料!F25,",","")))</f>
        <v>3886</v>
      </c>
      <c r="G25" s="11" t="str">
        <f>IF(COUNTIFS($A$5:A25,A25,$B$5:B25,B25)&gt;1,"重複","")</f>
        <v/>
      </c>
      <c r="H25" s="11" t="str">
        <f t="shared" si="0"/>
        <v/>
      </c>
      <c r="I25" s="11" t="str">
        <f t="shared" si="1"/>
        <v/>
      </c>
      <c r="J25" s="11" t="str">
        <f t="shared" si="2"/>
        <v>✔ 保留</v>
      </c>
      <c r="K25" s="3"/>
      <c r="L25" s="3"/>
      <c r="M25" s="3"/>
      <c r="N25" s="3"/>
      <c r="O25" s="3"/>
      <c r="P25" s="3"/>
    </row>
    <row r="26" spans="1:16" ht="15">
      <c r="A26" s="11" t="str">
        <f>原始資料!A26</f>
        <v>500101403</v>
      </c>
      <c r="B26" s="11" t="str">
        <f>TRIM(原始資料!B26)</f>
        <v>YouBike2.0_大安森林公園</v>
      </c>
      <c r="C26" s="11" t="str">
        <f>IF(RIGHT(TRIM(原始資料!C26),1)="區",TRIM(原始資料!C26),TRIM(原始資料!C26)&amp;"區")</f>
        <v>大安區</v>
      </c>
      <c r="D26" s="11">
        <f>原始資料!D26</f>
        <v>40</v>
      </c>
      <c r="E26" s="11">
        <f>IF(原始資料!E26="","",VALUE(SUBSTITUTE(原始資料!E26,",","")))</f>
        <v>99999</v>
      </c>
      <c r="F26" s="11">
        <f>IF(原始資料!F26="","",VALUE(SUBSTITUTE(原始資料!F26,",","")))</f>
        <v>7074</v>
      </c>
      <c r="G26" s="11" t="str">
        <f>IF(COUNTIFS($A$5:A26,A26,$B$5:B26,B26)&gt;1,"重複","")</f>
        <v/>
      </c>
      <c r="H26" s="11" t="str">
        <f t="shared" si="0"/>
        <v/>
      </c>
      <c r="I26" s="11" t="str">
        <f t="shared" si="1"/>
        <v>異常</v>
      </c>
      <c r="J26" s="11" t="str">
        <f t="shared" si="2"/>
        <v>✘ 刪除</v>
      </c>
      <c r="K26" s="3"/>
      <c r="L26" s="3"/>
      <c r="M26" s="3"/>
      <c r="N26" s="3"/>
      <c r="O26" s="3"/>
      <c r="P26" s="3"/>
    </row>
    <row r="27" spans="1:16" ht="15">
      <c r="A27" s="11" t="str">
        <f>原始資料!A27</f>
        <v>500101424</v>
      </c>
      <c r="B27" s="11" t="str">
        <f>TRIM(原始資料!B27)</f>
        <v>YouBike2.0_捷運龍山寺站</v>
      </c>
      <c r="C27" s="11" t="str">
        <f>IF(RIGHT(TRIM(原始資料!C27),1)="區",TRIM(原始資料!C27),TRIM(原始資料!C27)&amp;"區")</f>
        <v>萬華區</v>
      </c>
      <c r="D27" s="11">
        <f>原始資料!D27</f>
        <v>36</v>
      </c>
      <c r="E27" s="11">
        <f>IF(原始資料!E27="","",VALUE(SUBSTITUTE(原始資料!E27,",","")))</f>
        <v>3315</v>
      </c>
      <c r="F27" s="11">
        <f>IF(原始資料!F27="","",VALUE(SUBSTITUTE(原始資料!F27,",","")))</f>
        <v>3097</v>
      </c>
      <c r="G27" s="11" t="str">
        <f>IF(COUNTIFS($A$5:A27,A27,$B$5:B27,B27)&gt;1,"重複","")</f>
        <v/>
      </c>
      <c r="H27" s="11" t="str">
        <f t="shared" si="0"/>
        <v/>
      </c>
      <c r="I27" s="11" t="str">
        <f t="shared" si="1"/>
        <v/>
      </c>
      <c r="J27" s="11" t="str">
        <f t="shared" si="2"/>
        <v>✔ 保留</v>
      </c>
      <c r="K27" s="3"/>
      <c r="L27" s="3"/>
      <c r="M27" s="3"/>
      <c r="N27" s="3"/>
      <c r="O27" s="3"/>
      <c r="P27" s="3"/>
    </row>
    <row r="28" spans="1:16" ht="15">
      <c r="A28" s="11" t="str">
        <f>原始資料!A28</f>
        <v>500101430</v>
      </c>
      <c r="B28" s="11" t="str">
        <f>TRIM(原始資料!B28)</f>
        <v>YouBike2.0_西門町</v>
      </c>
      <c r="C28" s="11" t="str">
        <f>IF(RIGHT(TRIM(原始資料!C28),1)="區",TRIM(原始資料!C28),TRIM(原始資料!C28)&amp;"區")</f>
        <v>信義區</v>
      </c>
      <c r="D28" s="11">
        <f>原始資料!D28</f>
        <v>48</v>
      </c>
      <c r="E28" s="11">
        <f>IF(原始資料!E28="","",VALUE(SUBSTITUTE(原始資料!E28,",","")))</f>
        <v>2795</v>
      </c>
      <c r="F28" s="11">
        <f>IF(原始資料!F28="","",VALUE(SUBSTITUTE(原始資料!F28,",","")))</f>
        <v>2854</v>
      </c>
      <c r="G28" s="11" t="str">
        <f>IF(COUNTIFS($A$5:A28,A28,$B$5:B28,B28)&gt;1,"重複","")</f>
        <v/>
      </c>
      <c r="H28" s="11" t="str">
        <f t="shared" si="0"/>
        <v/>
      </c>
      <c r="I28" s="11" t="str">
        <f t="shared" si="1"/>
        <v/>
      </c>
      <c r="J28" s="11" t="str">
        <f t="shared" si="2"/>
        <v>✔ 保留</v>
      </c>
      <c r="K28" s="3"/>
      <c r="L28" s="3"/>
      <c r="M28" s="3"/>
      <c r="N28" s="3"/>
      <c r="O28" s="3"/>
      <c r="P28" s="3"/>
    </row>
    <row r="29" spans="1:16" ht="15">
      <c r="A29" s="11" t="str">
        <f>原始資料!A29</f>
        <v>500101437</v>
      </c>
      <c r="B29" s="11" t="str">
        <f>TRIM(原始資料!B29)</f>
        <v>YouBike2.0_青年公園</v>
      </c>
      <c r="C29" s="11" t="str">
        <f>IF(RIGHT(TRIM(原始資料!C29),1)="區",TRIM(原始資料!C29),TRIM(原始資料!C29)&amp;"區")</f>
        <v>萬華區</v>
      </c>
      <c r="D29" s="11">
        <f>原始資料!D29</f>
        <v>36</v>
      </c>
      <c r="E29" s="11">
        <f>IF(原始資料!E29="","",VALUE(SUBSTITUTE(原始資料!E29,",","")))</f>
        <v>2861</v>
      </c>
      <c r="F29" s="11">
        <f>IF(原始資料!F29="","",VALUE(SUBSTITUTE(原始資料!F29,",","")))</f>
        <v>3044</v>
      </c>
      <c r="G29" s="11" t="str">
        <f>IF(COUNTIFS($A$5:A29,A29,$B$5:B29,B29)&gt;1,"重複","")</f>
        <v/>
      </c>
      <c r="H29" s="11" t="str">
        <f t="shared" si="0"/>
        <v/>
      </c>
      <c r="I29" s="11" t="str">
        <f t="shared" si="1"/>
        <v/>
      </c>
      <c r="J29" s="11" t="str">
        <f t="shared" si="2"/>
        <v>✔ 保留</v>
      </c>
      <c r="K29" s="3"/>
      <c r="L29" s="3"/>
      <c r="M29" s="3"/>
      <c r="N29" s="3"/>
      <c r="O29" s="3"/>
      <c r="P29" s="3"/>
    </row>
    <row r="30" spans="1:16" ht="15">
      <c r="A30" s="11" t="str">
        <f>原始資料!A30</f>
        <v>500101458</v>
      </c>
      <c r="B30" s="11" t="str">
        <f>TRIM(原始資料!B30)</f>
        <v>YouBike2.0_捷運市政府站</v>
      </c>
      <c r="C30" s="11" t="str">
        <f>IF(RIGHT(TRIM(原始資料!C30),1)="區",TRIM(原始資料!C30),TRIM(原始資料!C30)&amp;"區")</f>
        <v>信義區</v>
      </c>
      <c r="D30" s="11">
        <f>原始資料!D30</f>
        <v>48</v>
      </c>
      <c r="E30" s="11">
        <f>IF(原始資料!E30="","",VALUE(SUBSTITUTE(原始資料!E30,",","")))</f>
        <v>5349</v>
      </c>
      <c r="F30" s="11">
        <f>IF(原始資料!F30="","",VALUE(SUBSTITUTE(原始資料!F30,",","")))</f>
        <v>5358</v>
      </c>
      <c r="G30" s="11" t="str">
        <f>IF(COUNTIFS($A$5:A30,A30,$B$5:B30,B30)&gt;1,"重複","")</f>
        <v/>
      </c>
      <c r="H30" s="11" t="str">
        <f t="shared" si="0"/>
        <v/>
      </c>
      <c r="I30" s="11" t="str">
        <f t="shared" si="1"/>
        <v/>
      </c>
      <c r="J30" s="11" t="str">
        <f t="shared" si="2"/>
        <v>✔ 保留</v>
      </c>
      <c r="K30" s="3"/>
      <c r="L30" s="3"/>
      <c r="M30" s="3"/>
      <c r="N30" s="3"/>
      <c r="O30" s="3"/>
      <c r="P30" s="3"/>
    </row>
    <row r="31" spans="1:16" ht="15">
      <c r="A31" s="11" t="str">
        <f>原始資料!A31</f>
        <v>500101494</v>
      </c>
      <c r="B31" s="11" t="str">
        <f>TRIM(原始資料!B31)</f>
        <v>YouBike2.0_台北101</v>
      </c>
      <c r="C31" s="11" t="str">
        <f>IF(RIGHT(TRIM(原始資料!C31),1)="區",TRIM(原始資料!C31),TRIM(原始資料!C31)&amp;"區")</f>
        <v>信義區</v>
      </c>
      <c r="D31" s="11">
        <f>原始資料!D31</f>
        <v>28</v>
      </c>
      <c r="E31" s="11">
        <f>IF(原始資料!E31="","",VALUE(SUBSTITUTE(原始資料!E31,",","")))</f>
        <v>2392</v>
      </c>
      <c r="F31" s="11">
        <f>IF(原始資料!F31="","",VALUE(SUBSTITUTE(原始資料!F31,",","")))</f>
        <v>2411</v>
      </c>
      <c r="G31" s="11" t="str">
        <f>IF(COUNTIFS($A$5:A31,A31,$B$5:B31,B31)&gt;1,"重複","")</f>
        <v/>
      </c>
      <c r="H31" s="11" t="str">
        <f t="shared" si="0"/>
        <v/>
      </c>
      <c r="I31" s="11" t="str">
        <f t="shared" si="1"/>
        <v/>
      </c>
      <c r="J31" s="11" t="str">
        <f t="shared" si="2"/>
        <v>✔ 保留</v>
      </c>
      <c r="K31" s="3"/>
      <c r="L31" s="3"/>
      <c r="M31" s="3"/>
      <c r="N31" s="3"/>
      <c r="O31" s="3"/>
      <c r="P31" s="3"/>
    </row>
    <row r="32" spans="1:16" ht="15">
      <c r="A32" s="11" t="str">
        <f>原始資料!A32</f>
        <v>500101534</v>
      </c>
      <c r="B32" s="11" t="str">
        <f>TRIM(原始資料!B32)</f>
        <v>YouBike2.0_松山文創園區</v>
      </c>
      <c r="C32" s="11" t="str">
        <f>IF(RIGHT(TRIM(原始資料!C32),1)="區",TRIM(原始資料!C32),TRIM(原始資料!C32)&amp;"區")</f>
        <v>信義區</v>
      </c>
      <c r="D32" s="11">
        <f>原始資料!D32</f>
        <v>48</v>
      </c>
      <c r="E32" s="11">
        <f>IF(原始資料!E32="","",VALUE(SUBSTITUTE(原始資料!E32,",","")))</f>
        <v>4795</v>
      </c>
      <c r="F32" s="11">
        <f>IF(原始資料!F32="","",VALUE(SUBSTITUTE(原始資料!F32,",","")))</f>
        <v>5173</v>
      </c>
      <c r="G32" s="11" t="str">
        <f>IF(COUNTIFS($A$5:A32,A32,$B$5:B32,B32)&gt;1,"重複","")</f>
        <v/>
      </c>
      <c r="H32" s="11" t="str">
        <f t="shared" si="0"/>
        <v/>
      </c>
      <c r="I32" s="11" t="str">
        <f t="shared" si="1"/>
        <v/>
      </c>
      <c r="J32" s="11" t="str">
        <f t="shared" si="2"/>
        <v>✔ 保留</v>
      </c>
      <c r="K32" s="3"/>
      <c r="L32" s="3"/>
      <c r="M32" s="3"/>
      <c r="N32" s="3"/>
      <c r="O32" s="3"/>
      <c r="P32" s="3"/>
    </row>
    <row r="33" spans="1:16" ht="15">
      <c r="A33" s="11" t="str">
        <f>原始資料!A33</f>
        <v>500101548</v>
      </c>
      <c r="B33" s="11" t="str">
        <f>TRIM(原始資料!B33)</f>
        <v>YouBike2.0_捷運永春站</v>
      </c>
      <c r="C33" s="11" t="str">
        <f>IF(RIGHT(TRIM(原始資料!C33),1)="區",TRIM(原始資料!C33),TRIM(原始資料!C33)&amp;"區")</f>
        <v>信義區</v>
      </c>
      <c r="D33" s="11">
        <f>原始資料!D33</f>
        <v>32</v>
      </c>
      <c r="E33" s="11">
        <f>IF(原始資料!E33="","",VALUE(SUBSTITUTE(原始資料!E33,",","")))</f>
        <v>3243</v>
      </c>
      <c r="F33" s="11">
        <f>IF(原始資料!F33="","",VALUE(SUBSTITUTE(原始資料!F33,",","")))</f>
        <v>3244</v>
      </c>
      <c r="G33" s="11" t="str">
        <f>IF(COUNTIFS($A$5:A33,A33,$B$5:B33,B33)&gt;1,"重複","")</f>
        <v/>
      </c>
      <c r="H33" s="11" t="str">
        <f t="shared" si="0"/>
        <v/>
      </c>
      <c r="I33" s="11" t="str">
        <f t="shared" si="1"/>
        <v/>
      </c>
      <c r="J33" s="11" t="str">
        <f t="shared" si="2"/>
        <v>✔ 保留</v>
      </c>
      <c r="K33" s="3"/>
      <c r="L33" s="3"/>
      <c r="M33" s="3"/>
      <c r="N33" s="3"/>
      <c r="O33" s="3"/>
      <c r="P33" s="3"/>
    </row>
    <row r="34" spans="1:16" ht="15">
      <c r="A34" s="11" t="str">
        <f>原始資料!A34</f>
        <v>500101580</v>
      </c>
      <c r="B34" s="11" t="str">
        <f>TRIM(原始資料!B34)</f>
        <v>YouBike2.0_捷運士林站</v>
      </c>
      <c r="C34" s="11" t="str">
        <f>IF(RIGHT(TRIM(原始資料!C34),1)="區",TRIM(原始資料!C34),TRIM(原始資料!C34)&amp;"區")</f>
        <v>士林區</v>
      </c>
      <c r="D34" s="11">
        <f>原始資料!D34</f>
        <v>48</v>
      </c>
      <c r="E34" s="11">
        <f>IF(原始資料!E34="","",VALUE(SUBSTITUTE(原始資料!E34,",","")))</f>
        <v>4366</v>
      </c>
      <c r="F34" s="11">
        <f>IF(原始資料!F34="","",VALUE(SUBSTITUTE(原始資料!F34,",","")))</f>
        <v>4052</v>
      </c>
      <c r="G34" s="11" t="str">
        <f>IF(COUNTIFS($A$5:A34,A34,$B$5:B34,B34)&gt;1,"重複","")</f>
        <v/>
      </c>
      <c r="H34" s="11" t="str">
        <f t="shared" si="0"/>
        <v/>
      </c>
      <c r="I34" s="11" t="str">
        <f t="shared" si="1"/>
        <v/>
      </c>
      <c r="J34" s="11" t="str">
        <f t="shared" si="2"/>
        <v>✔ 保留</v>
      </c>
      <c r="K34" s="3"/>
      <c r="L34" s="3"/>
      <c r="M34" s="3"/>
      <c r="N34" s="3"/>
      <c r="O34" s="3"/>
      <c r="P34" s="3"/>
    </row>
    <row r="35" spans="1:16" ht="15">
      <c r="A35" s="11" t="str">
        <f>原始資料!A35</f>
        <v>500101586</v>
      </c>
      <c r="B35" s="11" t="str">
        <f>TRIM(原始資料!B35)</f>
        <v>YouBike2.0_捷運劍潭站</v>
      </c>
      <c r="C35" s="11" t="str">
        <f>IF(RIGHT(TRIM(原始資料!C35),1)="區",TRIM(原始資料!C35),TRIM(原始資料!C35)&amp;"區")</f>
        <v>士林區</v>
      </c>
      <c r="D35" s="11">
        <f>原始資料!D35</f>
        <v>28</v>
      </c>
      <c r="E35" s="11">
        <f>IF(原始資料!E35="","",VALUE(SUBSTITUTE(原始資料!E35,",","")))</f>
        <v>2584</v>
      </c>
      <c r="F35" s="11">
        <f>IF(原始資料!F35="","",VALUE(SUBSTITUTE(原始資料!F35,",","")))</f>
        <v>2379</v>
      </c>
      <c r="G35" s="11" t="str">
        <f>IF(COUNTIFS($A$5:A35,A35,$B$5:B35,B35)&gt;1,"重複","")</f>
        <v/>
      </c>
      <c r="H35" s="11" t="str">
        <f t="shared" si="0"/>
        <v/>
      </c>
      <c r="I35" s="11" t="str">
        <f t="shared" si="1"/>
        <v/>
      </c>
      <c r="J35" s="11" t="str">
        <f t="shared" si="2"/>
        <v>✔ 保留</v>
      </c>
      <c r="K35" s="3"/>
      <c r="L35" s="3"/>
      <c r="M35" s="3"/>
      <c r="N35" s="3"/>
      <c r="O35" s="3"/>
      <c r="P35" s="3"/>
    </row>
    <row r="36" spans="1:16" ht="15">
      <c r="A36" s="11" t="str">
        <f>原始資料!A36</f>
        <v>500101622</v>
      </c>
      <c r="B36" s="11" t="str">
        <f>TRIM(原始資料!B36)</f>
        <v>YouBike2.0_天母運動公園</v>
      </c>
      <c r="C36" s="11" t="str">
        <f>IF(RIGHT(TRIM(原始資料!C36),1)="區",TRIM(原始資料!C36),TRIM(原始資料!C36)&amp;"區")</f>
        <v>士林區</v>
      </c>
      <c r="D36" s="11">
        <f>原始資料!D36</f>
        <v>30</v>
      </c>
      <c r="E36" s="11">
        <f>IF(原始資料!E36="","",VALUE(SUBSTITUTE(原始資料!E36,",","")))</f>
        <v>2563</v>
      </c>
      <c r="F36" s="11">
        <f>IF(原始資料!F36="","",VALUE(SUBSTITUTE(原始資料!F36,",","")))</f>
        <v>2558</v>
      </c>
      <c r="G36" s="11" t="str">
        <f>IF(COUNTIFS($A$5:A36,A36,$B$5:B36,B36)&gt;1,"重複","")</f>
        <v/>
      </c>
      <c r="H36" s="11" t="str">
        <f t="shared" si="0"/>
        <v/>
      </c>
      <c r="I36" s="11" t="str">
        <f t="shared" si="1"/>
        <v/>
      </c>
      <c r="J36" s="11" t="str">
        <f t="shared" si="2"/>
        <v>✔ 保留</v>
      </c>
      <c r="K36" s="3"/>
      <c r="L36" s="3"/>
      <c r="M36" s="3"/>
      <c r="N36" s="3"/>
      <c r="O36" s="3"/>
      <c r="P36" s="3"/>
    </row>
    <row r="37" spans="1:16" ht="15">
      <c r="A37" s="11" t="str">
        <f>原始資料!A37</f>
        <v>500101627</v>
      </c>
      <c r="B37" s="11" t="str">
        <f>TRIM(原始資料!B37)</f>
        <v>YouBike2.0_捷運北投站</v>
      </c>
      <c r="C37" s="11" t="str">
        <f>IF(RIGHT(TRIM(原始資料!C37),1)="區",TRIM(原始資料!C37),TRIM(原始資料!C37)&amp;"區")</f>
        <v>北投區</v>
      </c>
      <c r="D37" s="11">
        <f>原始資料!D37</f>
        <v>28</v>
      </c>
      <c r="E37" s="11">
        <f>IF(原始資料!E37="","",VALUE(SUBSTITUTE(原始資料!E37,",","")))</f>
        <v>1502</v>
      </c>
      <c r="F37" s="11">
        <f>IF(原始資料!F37="","",VALUE(SUBSTITUTE(原始資料!F37,",","")))</f>
        <v>1604</v>
      </c>
      <c r="G37" s="11" t="str">
        <f>IF(COUNTIFS($A$5:A37,A37,$B$5:B37,B37)&gt;1,"重複","")</f>
        <v/>
      </c>
      <c r="H37" s="11" t="str">
        <f t="shared" si="0"/>
        <v/>
      </c>
      <c r="I37" s="11" t="str">
        <f t="shared" si="1"/>
        <v/>
      </c>
      <c r="J37" s="11" t="str">
        <f t="shared" si="2"/>
        <v>✔ 保留</v>
      </c>
      <c r="K37" s="3"/>
      <c r="L37" s="3"/>
      <c r="M37" s="3"/>
      <c r="N37" s="3"/>
      <c r="O37" s="3"/>
      <c r="P37" s="3"/>
    </row>
    <row r="38" spans="1:16" ht="15">
      <c r="A38" s="11" t="str">
        <f>原始資料!A38</f>
        <v>500101655</v>
      </c>
      <c r="B38" s="11" t="str">
        <f>TRIM(原始資料!B38)</f>
        <v>YouBike2.0_新北投</v>
      </c>
      <c r="C38" s="11" t="str">
        <f>IF(RIGHT(TRIM(原始資料!C38),1)="區",TRIM(原始資料!C38),TRIM(原始資料!C38)&amp;"區")</f>
        <v>北投區</v>
      </c>
      <c r="D38" s="11">
        <f>原始資料!D38</f>
        <v>44</v>
      </c>
      <c r="E38" s="11">
        <f>IF(原始資料!E38="","",VALUE(SUBSTITUTE(原始資料!E38,",","")))</f>
        <v>2671</v>
      </c>
      <c r="F38" s="11">
        <f>IF(原始資料!F38="","",VALUE(SUBSTITUTE(原始資料!F38,",","")))</f>
        <v>2801</v>
      </c>
      <c r="G38" s="11" t="str">
        <f>IF(COUNTIFS($A$5:A38,A38,$B$5:B38,B38)&gt;1,"重複","")</f>
        <v/>
      </c>
      <c r="H38" s="11" t="str">
        <f t="shared" si="0"/>
        <v/>
      </c>
      <c r="I38" s="11" t="str">
        <f t="shared" si="1"/>
        <v/>
      </c>
      <c r="J38" s="11" t="str">
        <f t="shared" si="2"/>
        <v>✔ 保留</v>
      </c>
      <c r="K38" s="3"/>
      <c r="L38" s="3"/>
      <c r="M38" s="3"/>
      <c r="N38" s="3"/>
      <c r="O38" s="3"/>
      <c r="P38" s="3"/>
    </row>
    <row r="39" spans="1:16" ht="15">
      <c r="A39" s="11" t="str">
        <f>原始資料!A39</f>
        <v>500101670</v>
      </c>
      <c r="B39" s="11" t="str">
        <f>TRIM(原始資料!B39)</f>
        <v>YouBike2.0_捷運石牌站</v>
      </c>
      <c r="C39" s="11" t="str">
        <f>IF(RIGHT(TRIM(原始資料!C39),1)="區",TRIM(原始資料!C39),TRIM(原始資料!C39)&amp;"區")</f>
        <v>北投區</v>
      </c>
      <c r="D39" s="11">
        <f>原始資料!D39</f>
        <v>20</v>
      </c>
      <c r="E39" s="11">
        <f>IF(原始資料!E39="","",VALUE(SUBSTITUTE(原始資料!E39,",","")))</f>
        <v>1381</v>
      </c>
      <c r="F39" s="11">
        <f>IF(原始資料!F39="","",VALUE(SUBSTITUTE(原始資料!F39,",","")))</f>
        <v>1490</v>
      </c>
      <c r="G39" s="11" t="str">
        <f>IF(COUNTIFS($A$5:A39,A39,$B$5:B39,B39)&gt;1,"重複","")</f>
        <v/>
      </c>
      <c r="H39" s="11" t="str">
        <f t="shared" si="0"/>
        <v/>
      </c>
      <c r="I39" s="11" t="str">
        <f t="shared" si="1"/>
        <v/>
      </c>
      <c r="J39" s="11" t="str">
        <f t="shared" si="2"/>
        <v>✔ 保留</v>
      </c>
      <c r="K39" s="3"/>
      <c r="L39" s="3"/>
      <c r="M39" s="3"/>
      <c r="N39" s="3"/>
      <c r="O39" s="3"/>
      <c r="P39" s="3"/>
    </row>
    <row r="40" spans="1:16" ht="15">
      <c r="A40" s="11" t="str">
        <f>原始資料!A40</f>
        <v>500101701</v>
      </c>
      <c r="B40" s="11" t="str">
        <f>TRIM(原始資料!B40)</f>
        <v>YouBike2.0_捷運內湖站</v>
      </c>
      <c r="C40" s="11" t="str">
        <f>IF(RIGHT(TRIM(原始資料!C40),1)="區",TRIM(原始資料!C40),TRIM(原始資料!C40)&amp;"區")</f>
        <v>內湖區</v>
      </c>
      <c r="D40" s="11">
        <f>原始資料!D40</f>
        <v>76</v>
      </c>
      <c r="E40" s="11">
        <f>IF(原始資料!E40="","",VALUE(SUBSTITUTE(原始資料!E40,",","")))</f>
        <v>6391</v>
      </c>
      <c r="F40" s="11">
        <f>IF(原始資料!F40="","",VALUE(SUBSTITUTE(原始資料!F40,",","")))</f>
        <v>6725</v>
      </c>
      <c r="G40" s="11" t="str">
        <f>IF(COUNTIFS($A$5:A40,A40,$B$5:B40,B40)&gt;1,"重複","")</f>
        <v/>
      </c>
      <c r="H40" s="11" t="str">
        <f t="shared" si="0"/>
        <v/>
      </c>
      <c r="I40" s="11" t="str">
        <f t="shared" si="1"/>
        <v/>
      </c>
      <c r="J40" s="11" t="str">
        <f t="shared" si="2"/>
        <v>✔ 保留</v>
      </c>
      <c r="K40" s="3"/>
      <c r="L40" s="3"/>
      <c r="M40" s="3"/>
      <c r="N40" s="3"/>
      <c r="O40" s="3"/>
      <c r="P40" s="3"/>
    </row>
    <row r="41" spans="1:16" ht="15">
      <c r="A41" s="11" t="str">
        <f>原始資料!A41</f>
        <v>500101737</v>
      </c>
      <c r="B41" s="11" t="str">
        <f>TRIM(原始資料!B41)</f>
        <v>YouBike2.0_內湖科學園區</v>
      </c>
      <c r="C41" s="11" t="str">
        <f>IF(RIGHT(TRIM(原始資料!C41),1)="區",TRIM(原始資料!C41),TRIM(原始資料!C41)&amp;"區")</f>
        <v>內湖區</v>
      </c>
      <c r="D41" s="11">
        <f>原始資料!D41</f>
        <v>60</v>
      </c>
      <c r="E41" s="11">
        <f>IF(原始資料!E41="","",VALUE(SUBSTITUTE(原始資料!E41,",","")))</f>
        <v>3880</v>
      </c>
      <c r="F41" s="11" t="str">
        <f>IF(原始資料!F41="","",VALUE(SUBSTITUTE(原始資料!F41,",","")))</f>
        <v/>
      </c>
      <c r="G41" s="11" t="str">
        <f>IF(COUNTIFS($A$5:A41,A41,$B$5:B41,B41)&gt;1,"重複","")</f>
        <v/>
      </c>
      <c r="H41" s="11" t="str">
        <f t="shared" si="0"/>
        <v>缺值</v>
      </c>
      <c r="I41" s="11" t="str">
        <f t="shared" si="1"/>
        <v/>
      </c>
      <c r="J41" s="11" t="str">
        <f t="shared" si="2"/>
        <v>✘ 刪除</v>
      </c>
      <c r="K41" s="3"/>
      <c r="L41" s="3"/>
      <c r="M41" s="3"/>
      <c r="N41" s="3"/>
      <c r="O41" s="3"/>
      <c r="P41" s="3"/>
    </row>
    <row r="42" spans="1:16" ht="15">
      <c r="A42" s="11" t="str">
        <f>原始資料!A42</f>
        <v>500101759</v>
      </c>
      <c r="B42" s="11" t="str">
        <f>TRIM(原始資料!B42)</f>
        <v>YouBike2.0_捷運大湖公園站</v>
      </c>
      <c r="C42" s="11" t="str">
        <f>IF(RIGHT(TRIM(原始資料!C42),1)="區",TRIM(原始資料!C42),TRIM(原始資料!C42)&amp;"區")</f>
        <v>內湖區</v>
      </c>
      <c r="D42" s="11">
        <f>原始資料!D42</f>
        <v>28</v>
      </c>
      <c r="E42" s="11">
        <f>IF(原始資料!E42="","",VALUE(SUBSTITUTE(原始資料!E42,",","")))</f>
        <v>2737</v>
      </c>
      <c r="F42" s="11">
        <f>IF(原始資料!F42="","",VALUE(SUBSTITUTE(原始資料!F42,",","")))</f>
        <v>2993</v>
      </c>
      <c r="G42" s="11" t="str">
        <f>IF(COUNTIFS($A$5:A42,A42,$B$5:B42,B42)&gt;1,"重複","")</f>
        <v/>
      </c>
      <c r="H42" s="11" t="str">
        <f t="shared" si="0"/>
        <v/>
      </c>
      <c r="I42" s="11" t="str">
        <f t="shared" si="1"/>
        <v/>
      </c>
      <c r="J42" s="11" t="str">
        <f t="shared" si="2"/>
        <v>✔ 保留</v>
      </c>
      <c r="K42" s="3"/>
      <c r="L42" s="3"/>
      <c r="M42" s="3"/>
      <c r="N42" s="3"/>
      <c r="O42" s="3"/>
      <c r="P42" s="3"/>
    </row>
    <row r="43" spans="1:16" ht="15">
      <c r="A43" s="11" t="str">
        <f>原始資料!A43</f>
        <v>500101798</v>
      </c>
      <c r="B43" s="11" t="str">
        <f>TRIM(原始資料!B43)</f>
        <v>YouBike2.0_南港車站</v>
      </c>
      <c r="C43" s="11" t="str">
        <f>IF(RIGHT(TRIM(原始資料!C43),1)="區",TRIM(原始資料!C43),TRIM(原始資料!C43)&amp;"區")</f>
        <v>南港區</v>
      </c>
      <c r="D43" s="11">
        <f>原始資料!D43</f>
        <v>24</v>
      </c>
      <c r="E43" s="11">
        <f>IF(原始資料!E43="","",VALUE(SUBSTITUTE(原始資料!E43,",","")))</f>
        <v>1216</v>
      </c>
      <c r="F43" s="11">
        <f>IF(原始資料!F43="","",VALUE(SUBSTITUTE(原始資料!F43,",","")))</f>
        <v>1173</v>
      </c>
      <c r="G43" s="11" t="str">
        <f>IF(COUNTIFS($A$5:A43,A43,$B$5:B43,B43)&gt;1,"重複","")</f>
        <v/>
      </c>
      <c r="H43" s="11" t="str">
        <f t="shared" si="0"/>
        <v/>
      </c>
      <c r="I43" s="11" t="str">
        <f t="shared" si="1"/>
        <v/>
      </c>
      <c r="J43" s="11" t="str">
        <f t="shared" si="2"/>
        <v>✔ 保留</v>
      </c>
      <c r="K43" s="3"/>
      <c r="L43" s="3"/>
      <c r="M43" s="3"/>
      <c r="N43" s="3"/>
      <c r="O43" s="3"/>
      <c r="P43" s="3"/>
    </row>
    <row r="44" spans="1:16" ht="15">
      <c r="A44" s="11" t="str">
        <f>原始資料!A44</f>
        <v>500101825</v>
      </c>
      <c r="B44" s="11" t="str">
        <f>TRIM(原始資料!B44)</f>
        <v>YouBike2.0_南港軟體園區</v>
      </c>
      <c r="C44" s="11" t="str">
        <f>IF(RIGHT(TRIM(原始資料!C44),1)="區",TRIM(原始資料!C44),TRIM(原始資料!C44)&amp;"區")</f>
        <v>南港區</v>
      </c>
      <c r="D44" s="11">
        <f>原始資料!D44</f>
        <v>68</v>
      </c>
      <c r="E44" s="11">
        <f>IF(原始資料!E44="","",VALUE(SUBSTITUTE(原始資料!E44,",","")))</f>
        <v>3651</v>
      </c>
      <c r="F44" s="11">
        <f>IF(原始資料!F44="","",VALUE(SUBSTITUTE(原始資料!F44,",","")))</f>
        <v>3850</v>
      </c>
      <c r="G44" s="11" t="str">
        <f>IF(COUNTIFS($A$5:A44,A44,$B$5:B44,B44)&gt;1,"重複","")</f>
        <v/>
      </c>
      <c r="H44" s="11" t="str">
        <f t="shared" si="0"/>
        <v/>
      </c>
      <c r="I44" s="11" t="str">
        <f t="shared" si="1"/>
        <v/>
      </c>
      <c r="J44" s="11" t="str">
        <f t="shared" si="2"/>
        <v>✔ 保留</v>
      </c>
      <c r="K44" s="3"/>
      <c r="L44" s="3"/>
      <c r="M44" s="3"/>
      <c r="N44" s="3"/>
      <c r="O44" s="3"/>
      <c r="P44" s="3"/>
    </row>
    <row r="45" spans="1:16" ht="15">
      <c r="A45" s="11" t="str">
        <f>原始資料!A45</f>
        <v>500101835</v>
      </c>
      <c r="B45" s="11" t="str">
        <f>TRIM(原始資料!B45)</f>
        <v>YouBike2.0_捷運昆陽站</v>
      </c>
      <c r="C45" s="11" t="str">
        <f>IF(RIGHT(TRIM(原始資料!C45),1)="區",TRIM(原始資料!C45),TRIM(原始資料!C45)&amp;"區")</f>
        <v>南港區</v>
      </c>
      <c r="D45" s="11">
        <f>原始資料!D45</f>
        <v>30</v>
      </c>
      <c r="E45" s="11">
        <f>IF(原始資料!E45="","",VALUE(SUBSTITUTE(原始資料!E45,",","")))</f>
        <v>2593</v>
      </c>
      <c r="F45" s="11">
        <f>IF(原始資料!F45="","",VALUE(SUBSTITUTE(原始資料!F45,",","")))</f>
        <v>2804</v>
      </c>
      <c r="G45" s="11" t="str">
        <f>IF(COUNTIFS($A$5:A45,A45,$B$5:B45,B45)&gt;1,"重複","")</f>
        <v/>
      </c>
      <c r="H45" s="11" t="str">
        <f t="shared" si="0"/>
        <v/>
      </c>
      <c r="I45" s="11" t="str">
        <f t="shared" si="1"/>
        <v/>
      </c>
      <c r="J45" s="11" t="str">
        <f t="shared" si="2"/>
        <v>✔ 保留</v>
      </c>
      <c r="K45" s="3"/>
      <c r="L45" s="3"/>
      <c r="M45" s="3"/>
      <c r="N45" s="3"/>
      <c r="O45" s="3"/>
      <c r="P45" s="3"/>
    </row>
    <row r="46" spans="1:16" ht="15">
      <c r="A46" s="11" t="str">
        <f>原始資料!A46</f>
        <v>500101835</v>
      </c>
      <c r="B46" s="11" t="str">
        <f>TRIM(原始資料!B46)</f>
        <v>YouBike2.0_捷運昆陽站</v>
      </c>
      <c r="C46" s="11" t="str">
        <f>IF(RIGHT(TRIM(原始資料!C46),1)="區",TRIM(原始資料!C46),TRIM(原始資料!C46)&amp;"區")</f>
        <v>南港區</v>
      </c>
      <c r="D46" s="11">
        <f>原始資料!D46</f>
        <v>30</v>
      </c>
      <c r="E46" s="11">
        <f>IF(原始資料!E46="","",VALUE(SUBSTITUTE(原始資料!E46,",","")))</f>
        <v>2593</v>
      </c>
      <c r="F46" s="11">
        <f>IF(原始資料!F46="","",VALUE(SUBSTITUTE(原始資料!F46,",","")))</f>
        <v>2804</v>
      </c>
      <c r="G46" s="11" t="str">
        <f>IF(COUNTIFS($A$5:A46,A46,$B$5:B46,B46)&gt;1,"重複","")</f>
        <v>重複</v>
      </c>
      <c r="H46" s="11" t="str">
        <f t="shared" si="0"/>
        <v/>
      </c>
      <c r="I46" s="11" t="str">
        <f t="shared" si="1"/>
        <v/>
      </c>
      <c r="J46" s="11" t="str">
        <f t="shared" si="2"/>
        <v>✘ 刪除</v>
      </c>
      <c r="K46" s="3"/>
      <c r="L46" s="3"/>
      <c r="M46" s="3"/>
      <c r="N46" s="3"/>
      <c r="O46" s="3"/>
      <c r="P46" s="3"/>
    </row>
    <row r="47" spans="1:16" ht="15">
      <c r="A47" s="11" t="str">
        <f>原始資料!A47</f>
        <v>500101853</v>
      </c>
      <c r="B47" s="11" t="str">
        <f>TRIM(原始資料!B47)</f>
        <v>YouBike2.0_捷運木柵站</v>
      </c>
      <c r="C47" s="11" t="str">
        <f>IF(RIGHT(TRIM(原始資料!C47),1)="區",TRIM(原始資料!C47),TRIM(原始資料!C47)&amp;"區")</f>
        <v>文山區</v>
      </c>
      <c r="D47" s="11">
        <f>原始資料!D47</f>
        <v>32</v>
      </c>
      <c r="E47" s="11">
        <f>IF(原始資料!E47="","",VALUE(SUBSTITUTE(原始資料!E47,",","")))</f>
        <v>2771</v>
      </c>
      <c r="F47" s="11">
        <f>IF(原始資料!F47="","",VALUE(SUBSTITUTE(原始資料!F47,",","")))</f>
        <v>2901</v>
      </c>
      <c r="G47" s="11" t="str">
        <f>IF(COUNTIFS($A$5:A47,A47,$B$5:B47,B47)&gt;1,"重複","")</f>
        <v/>
      </c>
      <c r="H47" s="11" t="str">
        <f t="shared" si="0"/>
        <v/>
      </c>
      <c r="I47" s="11" t="str">
        <f t="shared" si="1"/>
        <v/>
      </c>
      <c r="J47" s="11" t="str">
        <f t="shared" si="2"/>
        <v>✔ 保留</v>
      </c>
      <c r="K47" s="3"/>
      <c r="L47" s="3"/>
      <c r="M47" s="3"/>
      <c r="N47" s="3"/>
      <c r="O47" s="3"/>
      <c r="P47" s="3"/>
    </row>
    <row r="48" spans="1:16" ht="15">
      <c r="A48" s="11" t="str">
        <f>原始資料!A48</f>
        <v>500101861</v>
      </c>
      <c r="B48" s="11" t="str">
        <f>TRIM(原始資料!B48)</f>
        <v>YouBike2.0_政治大學</v>
      </c>
      <c r="C48" s="11" t="str">
        <f>IF(RIGHT(TRIM(原始資料!C48),1)="區",TRIM(原始資料!C48),TRIM(原始資料!C48)&amp;"區")</f>
        <v>文山區</v>
      </c>
      <c r="D48" s="11">
        <f>原始資料!D48</f>
        <v>36</v>
      </c>
      <c r="E48" s="11">
        <f>IF(原始資料!E48="","",VALUE(SUBSTITUTE(原始資料!E48,",","")))</f>
        <v>2765</v>
      </c>
      <c r="F48" s="11">
        <f>IF(原始資料!F48="","",VALUE(SUBSTITUTE(原始資料!F48,",","")))</f>
        <v>3027</v>
      </c>
      <c r="G48" s="11" t="str">
        <f>IF(COUNTIFS($A$5:A48,A48,$B$5:B48,B48)&gt;1,"重複","")</f>
        <v/>
      </c>
      <c r="H48" s="11" t="str">
        <f t="shared" si="0"/>
        <v/>
      </c>
      <c r="I48" s="11" t="str">
        <f t="shared" si="1"/>
        <v/>
      </c>
      <c r="J48" s="11" t="str">
        <f t="shared" si="2"/>
        <v>✔ 保留</v>
      </c>
      <c r="K48" s="3"/>
      <c r="L48" s="3"/>
      <c r="M48" s="3"/>
      <c r="N48" s="3"/>
      <c r="O48" s="3"/>
      <c r="P48" s="3"/>
    </row>
    <row r="49" spans="1:16" ht="15">
      <c r="A49" s="11" t="str">
        <f>原始資料!A49</f>
        <v>500101887</v>
      </c>
      <c r="B49" s="11" t="str">
        <f>TRIM(原始資料!B49)</f>
        <v>YouBike2.0_捷運景美站</v>
      </c>
      <c r="C49" s="11" t="str">
        <f>IF(RIGHT(TRIM(原始資料!C49),1)="區",TRIM(原始資料!C49),TRIM(原始資料!C49)&amp;"區")</f>
        <v>文山區</v>
      </c>
      <c r="D49" s="11">
        <f>原始資料!D49</f>
        <v>40</v>
      </c>
      <c r="E49" s="11">
        <f>IF(原始資料!E49="","",VALUE(SUBSTITUTE(原始資料!E49,",","")))</f>
        <v>1999</v>
      </c>
      <c r="F49" s="11">
        <f>IF(原始資料!F49="","",VALUE(SUBSTITUTE(原始資料!F49,",","")))</f>
        <v>1804</v>
      </c>
      <c r="G49" s="11" t="str">
        <f>IF(COUNTIFS($A$5:A49,A49,$B$5:B49,B49)&gt;1,"重複","")</f>
        <v/>
      </c>
      <c r="H49" s="11" t="str">
        <f t="shared" si="0"/>
        <v/>
      </c>
      <c r="I49" s="11" t="str">
        <f t="shared" si="1"/>
        <v/>
      </c>
      <c r="J49" s="11" t="str">
        <f t="shared" si="2"/>
        <v>✔ 保留</v>
      </c>
      <c r="K49" s="3"/>
      <c r="L49" s="3"/>
      <c r="M49" s="3"/>
      <c r="N49" s="3"/>
      <c r="O49" s="3"/>
      <c r="P49" s="3"/>
    </row>
    <row r="50" spans="1:16" ht="15">
      <c r="A50" s="11" t="str">
        <f>原始資料!A50</f>
        <v>500101920</v>
      </c>
      <c r="B50" s="11" t="str">
        <f>TRIM(原始資料!B50)</f>
        <v>YouBike2.0_動物園</v>
      </c>
      <c r="C50" s="11" t="str">
        <f>IF(RIGHT(TRIM(原始資料!C50),1)="區",TRIM(原始資料!C50),TRIM(原始資料!C50)&amp;"區")</f>
        <v>文山區</v>
      </c>
      <c r="D50" s="11">
        <f>原始資料!D50</f>
        <v>30</v>
      </c>
      <c r="E50" s="11">
        <f>IF(原始資料!E50="","",VALUE(SUBSTITUTE(原始資料!E50,",","")))</f>
        <v>2538</v>
      </c>
      <c r="F50" s="11">
        <f>IF(原始資料!F50="","",VALUE(SUBSTITUTE(原始資料!F50,",","")))</f>
        <v>2729</v>
      </c>
      <c r="G50" s="11" t="str">
        <f>IF(COUNTIFS($A$5:A50,A50,$B$5:B50,B50)&gt;1,"重複","")</f>
        <v/>
      </c>
      <c r="H50" s="11" t="str">
        <f t="shared" si="0"/>
        <v/>
      </c>
      <c r="I50" s="11" t="str">
        <f t="shared" si="1"/>
        <v/>
      </c>
      <c r="J50" s="11" t="str">
        <f t="shared" si="2"/>
        <v>✔ 保留</v>
      </c>
      <c r="K50" s="3"/>
      <c r="L50" s="3"/>
      <c r="M50" s="3"/>
      <c r="N50" s="3"/>
      <c r="O50" s="3"/>
      <c r="P50" s="3"/>
    </row>
  </sheetData>
  <mergeCells count="1">
    <mergeCell ref="L4:P14"/>
  </mergeCells>
  <phoneticPr fontId="11" type="noConversion"/>
  <conditionalFormatting sqref="J5:J50">
    <cfRule type="cellIs" dxfId="1" priority="1" operator="equal">
      <formula>"✘ 刪除"</formula>
    </cfRule>
  </conditionalFormatting>
  <conditionalFormatting sqref="G5:I50">
    <cfRule type="expression" dxfId="0" priority="2">
      <formula>G5&lt;&gt;""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4"/>
  <sheetViews>
    <sheetView workbookViewId="0">
      <pane ySplit="4" topLeftCell="A5" activePane="bottomLeft" state="frozen"/>
      <selection pane="bottomLeft"/>
    </sheetView>
  </sheetViews>
  <sheetFormatPr defaultRowHeight="14.5"/>
  <cols>
    <col min="1" max="1" width="12" customWidth="1"/>
    <col min="2" max="2" width="32" customWidth="1"/>
    <col min="3" max="3" width="10" customWidth="1"/>
    <col min="4" max="4" width="9" customWidth="1"/>
    <col min="5" max="7" width="13" customWidth="1"/>
  </cols>
  <sheetData>
    <row r="1" spans="1:7" ht="20.5">
      <c r="A1" s="1" t="s">
        <v>145</v>
      </c>
      <c r="B1" s="3"/>
      <c r="C1" s="3"/>
      <c r="D1" s="3"/>
      <c r="E1" s="3"/>
      <c r="F1" s="3"/>
      <c r="G1" s="3"/>
    </row>
    <row r="2" spans="1:7" ht="15">
      <c r="A2" s="2" t="s">
        <v>146</v>
      </c>
      <c r="B2" s="3"/>
      <c r="C2" s="3"/>
      <c r="D2" s="3"/>
      <c r="E2" s="3"/>
      <c r="F2" s="3"/>
      <c r="G2" s="3"/>
    </row>
    <row r="3" spans="1:7" ht="15">
      <c r="A3" s="3"/>
      <c r="B3" s="3"/>
      <c r="C3" s="3"/>
      <c r="D3" s="3"/>
      <c r="E3" s="3"/>
      <c r="F3" s="3"/>
      <c r="G3" s="3"/>
    </row>
    <row r="4" spans="1:7" ht="29">
      <c r="A4" s="6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29</v>
      </c>
      <c r="G4" s="6" t="s">
        <v>147</v>
      </c>
    </row>
    <row r="5" spans="1:7" ht="15">
      <c r="A5" s="7" t="s">
        <v>30</v>
      </c>
      <c r="B5" s="8" t="s">
        <v>31</v>
      </c>
      <c r="C5" s="8" t="s">
        <v>32</v>
      </c>
      <c r="D5" s="8">
        <v>30</v>
      </c>
      <c r="E5" s="12">
        <v>3238</v>
      </c>
      <c r="F5" s="12">
        <v>3262</v>
      </c>
      <c r="G5" s="11">
        <f t="shared" ref="G5:G44" si="0">ROUND(E5/D5,1)</f>
        <v>107.9</v>
      </c>
    </row>
    <row r="6" spans="1:7" ht="15">
      <c r="A6" s="7" t="s">
        <v>33</v>
      </c>
      <c r="B6" s="8" t="s">
        <v>34</v>
      </c>
      <c r="C6" s="8" t="s">
        <v>32</v>
      </c>
      <c r="D6" s="8">
        <v>76</v>
      </c>
      <c r="E6" s="12">
        <v>8621</v>
      </c>
      <c r="F6" s="12">
        <v>8705</v>
      </c>
      <c r="G6" s="11">
        <f t="shared" si="0"/>
        <v>113.4</v>
      </c>
    </row>
    <row r="7" spans="1:7" ht="15">
      <c r="A7" s="7" t="s">
        <v>35</v>
      </c>
      <c r="B7" s="8" t="s">
        <v>36</v>
      </c>
      <c r="C7" s="8" t="s">
        <v>32</v>
      </c>
      <c r="D7" s="8">
        <v>60</v>
      </c>
      <c r="E7" s="12">
        <v>6959</v>
      </c>
      <c r="F7" s="12">
        <v>6659</v>
      </c>
      <c r="G7" s="11">
        <f t="shared" si="0"/>
        <v>116</v>
      </c>
    </row>
    <row r="8" spans="1:7" ht="15">
      <c r="A8" s="7" t="s">
        <v>38</v>
      </c>
      <c r="B8" s="8" t="s">
        <v>39</v>
      </c>
      <c r="C8" s="8" t="s">
        <v>32</v>
      </c>
      <c r="D8" s="8">
        <v>44</v>
      </c>
      <c r="E8" s="12">
        <v>2939</v>
      </c>
      <c r="F8" s="12">
        <v>2969</v>
      </c>
      <c r="G8" s="11">
        <f t="shared" si="0"/>
        <v>66.8</v>
      </c>
    </row>
    <row r="9" spans="1:7" ht="15">
      <c r="A9" s="7" t="s">
        <v>40</v>
      </c>
      <c r="B9" s="8" t="s">
        <v>41</v>
      </c>
      <c r="C9" s="8" t="s">
        <v>42</v>
      </c>
      <c r="D9" s="8">
        <v>20</v>
      </c>
      <c r="E9" s="12">
        <v>1246</v>
      </c>
      <c r="F9" s="12">
        <v>1325</v>
      </c>
      <c r="G9" s="11">
        <f t="shared" si="0"/>
        <v>62.3</v>
      </c>
    </row>
    <row r="10" spans="1:7" ht="15">
      <c r="A10" s="7" t="s">
        <v>43</v>
      </c>
      <c r="B10" s="8" t="s">
        <v>148</v>
      </c>
      <c r="C10" s="8" t="s">
        <v>42</v>
      </c>
      <c r="D10" s="8">
        <v>44</v>
      </c>
      <c r="E10" s="12">
        <v>3644</v>
      </c>
      <c r="F10" s="12">
        <v>3708</v>
      </c>
      <c r="G10" s="11">
        <f t="shared" si="0"/>
        <v>82.8</v>
      </c>
    </row>
    <row r="11" spans="1:7" ht="15">
      <c r="A11" s="7" t="s">
        <v>45</v>
      </c>
      <c r="B11" s="8" t="s">
        <v>46</v>
      </c>
      <c r="C11" s="8" t="s">
        <v>42</v>
      </c>
      <c r="D11" s="8">
        <v>28</v>
      </c>
      <c r="E11" s="12">
        <v>2481</v>
      </c>
      <c r="F11" s="12">
        <v>2495</v>
      </c>
      <c r="G11" s="11">
        <f t="shared" si="0"/>
        <v>88.6</v>
      </c>
    </row>
    <row r="12" spans="1:7" ht="15">
      <c r="A12" s="7" t="s">
        <v>47</v>
      </c>
      <c r="B12" s="8" t="s">
        <v>48</v>
      </c>
      <c r="C12" s="8" t="s">
        <v>52</v>
      </c>
      <c r="D12" s="8">
        <v>76</v>
      </c>
      <c r="E12" s="12">
        <v>8177</v>
      </c>
      <c r="F12" s="12">
        <v>8716</v>
      </c>
      <c r="G12" s="11">
        <f t="shared" si="0"/>
        <v>107.6</v>
      </c>
    </row>
    <row r="13" spans="1:7" ht="15">
      <c r="A13" s="7" t="s">
        <v>50</v>
      </c>
      <c r="B13" s="8" t="s">
        <v>51</v>
      </c>
      <c r="C13" s="8" t="s">
        <v>52</v>
      </c>
      <c r="D13" s="8">
        <v>20</v>
      </c>
      <c r="E13" s="12">
        <v>1904</v>
      </c>
      <c r="F13" s="12">
        <v>1914</v>
      </c>
      <c r="G13" s="11">
        <f t="shared" si="0"/>
        <v>95.2</v>
      </c>
    </row>
    <row r="14" spans="1:7" ht="15">
      <c r="A14" s="7" t="s">
        <v>53</v>
      </c>
      <c r="B14" s="8" t="s">
        <v>54</v>
      </c>
      <c r="C14" s="8" t="s">
        <v>52</v>
      </c>
      <c r="D14" s="8">
        <v>76</v>
      </c>
      <c r="E14" s="12">
        <v>7936</v>
      </c>
      <c r="F14" s="12">
        <v>8277</v>
      </c>
      <c r="G14" s="11">
        <f t="shared" si="0"/>
        <v>104.4</v>
      </c>
    </row>
    <row r="15" spans="1:7" ht="15">
      <c r="A15" s="7" t="s">
        <v>55</v>
      </c>
      <c r="B15" s="8" t="s">
        <v>56</v>
      </c>
      <c r="C15" s="8" t="s">
        <v>52</v>
      </c>
      <c r="D15" s="8">
        <v>32</v>
      </c>
      <c r="E15" s="12">
        <v>3259</v>
      </c>
      <c r="F15" s="12">
        <v>3201</v>
      </c>
      <c r="G15" s="11">
        <f t="shared" si="0"/>
        <v>101.8</v>
      </c>
    </row>
    <row r="16" spans="1:7" ht="15">
      <c r="A16" s="7" t="s">
        <v>58</v>
      </c>
      <c r="B16" s="8" t="s">
        <v>59</v>
      </c>
      <c r="C16" s="8" t="s">
        <v>60</v>
      </c>
      <c r="D16" s="8">
        <v>48</v>
      </c>
      <c r="E16" s="12">
        <v>4237</v>
      </c>
      <c r="F16" s="12">
        <v>4218</v>
      </c>
      <c r="G16" s="11">
        <f t="shared" si="0"/>
        <v>88.3</v>
      </c>
    </row>
    <row r="17" spans="1:7" ht="15">
      <c r="A17" s="7" t="s">
        <v>63</v>
      </c>
      <c r="B17" s="8" t="s">
        <v>64</v>
      </c>
      <c r="C17" s="8" t="s">
        <v>60</v>
      </c>
      <c r="D17" s="8">
        <v>68</v>
      </c>
      <c r="E17" s="12">
        <v>5118</v>
      </c>
      <c r="F17" s="12">
        <v>5342</v>
      </c>
      <c r="G17" s="11">
        <f t="shared" si="0"/>
        <v>75.3</v>
      </c>
    </row>
    <row r="18" spans="1:7" ht="15">
      <c r="A18" s="7" t="s">
        <v>65</v>
      </c>
      <c r="B18" s="8" t="s">
        <v>66</v>
      </c>
      <c r="C18" s="8" t="s">
        <v>67</v>
      </c>
      <c r="D18" s="8">
        <v>32</v>
      </c>
      <c r="E18" s="12">
        <v>3607</v>
      </c>
      <c r="F18" s="12">
        <v>3624</v>
      </c>
      <c r="G18" s="11">
        <f t="shared" si="0"/>
        <v>112.7</v>
      </c>
    </row>
    <row r="19" spans="1:7" ht="15">
      <c r="A19" s="7" t="s">
        <v>68</v>
      </c>
      <c r="B19" s="8" t="s">
        <v>69</v>
      </c>
      <c r="C19" s="8" t="s">
        <v>67</v>
      </c>
      <c r="D19" s="8">
        <v>52</v>
      </c>
      <c r="E19" s="12">
        <v>6518</v>
      </c>
      <c r="F19" s="12">
        <v>6201</v>
      </c>
      <c r="G19" s="11">
        <f t="shared" si="0"/>
        <v>125.3</v>
      </c>
    </row>
    <row r="20" spans="1:7" ht="15">
      <c r="A20" s="7" t="s">
        <v>70</v>
      </c>
      <c r="B20" s="8" t="s">
        <v>71</v>
      </c>
      <c r="C20" s="8" t="s">
        <v>67</v>
      </c>
      <c r="D20" s="8">
        <v>60</v>
      </c>
      <c r="E20" s="12">
        <v>8885</v>
      </c>
      <c r="F20" s="12">
        <v>8100</v>
      </c>
      <c r="G20" s="11">
        <f t="shared" si="0"/>
        <v>148.1</v>
      </c>
    </row>
    <row r="21" spans="1:7" ht="15">
      <c r="A21" s="7" t="s">
        <v>73</v>
      </c>
      <c r="B21" s="8" t="s">
        <v>74</v>
      </c>
      <c r="C21" s="8" t="s">
        <v>67</v>
      </c>
      <c r="D21" s="8">
        <v>40</v>
      </c>
      <c r="E21" s="12">
        <v>5959</v>
      </c>
      <c r="F21" s="12">
        <v>5394</v>
      </c>
      <c r="G21" s="11">
        <f t="shared" si="0"/>
        <v>149</v>
      </c>
    </row>
    <row r="22" spans="1:7" ht="15">
      <c r="A22" s="7" t="s">
        <v>75</v>
      </c>
      <c r="B22" s="8" t="s">
        <v>76</v>
      </c>
      <c r="C22" s="8" t="s">
        <v>67</v>
      </c>
      <c r="D22" s="8">
        <v>20</v>
      </c>
      <c r="E22" s="12">
        <v>3598</v>
      </c>
      <c r="F22" s="12">
        <v>3886</v>
      </c>
      <c r="G22" s="11">
        <f t="shared" si="0"/>
        <v>179.9</v>
      </c>
    </row>
    <row r="23" spans="1:7" ht="15">
      <c r="A23" s="7" t="s">
        <v>79</v>
      </c>
      <c r="B23" s="8" t="s">
        <v>80</v>
      </c>
      <c r="C23" s="8" t="s">
        <v>81</v>
      </c>
      <c r="D23" s="8">
        <v>36</v>
      </c>
      <c r="E23" s="12">
        <v>3315</v>
      </c>
      <c r="F23" s="12">
        <v>3097</v>
      </c>
      <c r="G23" s="11">
        <f t="shared" si="0"/>
        <v>92.1</v>
      </c>
    </row>
    <row r="24" spans="1:7" ht="15">
      <c r="A24" s="7" t="s">
        <v>82</v>
      </c>
      <c r="B24" s="8" t="s">
        <v>83</v>
      </c>
      <c r="C24" s="8" t="s">
        <v>81</v>
      </c>
      <c r="D24" s="8">
        <v>48</v>
      </c>
      <c r="E24" s="12">
        <v>2795</v>
      </c>
      <c r="F24" s="12">
        <v>2854</v>
      </c>
      <c r="G24" s="11">
        <f t="shared" si="0"/>
        <v>58.2</v>
      </c>
    </row>
    <row r="25" spans="1:7" ht="15">
      <c r="A25" s="7" t="s">
        <v>85</v>
      </c>
      <c r="B25" s="8" t="s">
        <v>86</v>
      </c>
      <c r="C25" s="8" t="s">
        <v>81</v>
      </c>
      <c r="D25" s="8">
        <v>36</v>
      </c>
      <c r="E25" s="12">
        <v>2861</v>
      </c>
      <c r="F25" s="12">
        <v>3044</v>
      </c>
      <c r="G25" s="11">
        <f t="shared" si="0"/>
        <v>79.5</v>
      </c>
    </row>
    <row r="26" spans="1:7" ht="15">
      <c r="A26" s="7" t="s">
        <v>87</v>
      </c>
      <c r="B26" s="8" t="s">
        <v>88</v>
      </c>
      <c r="C26" s="8" t="s">
        <v>89</v>
      </c>
      <c r="D26" s="8">
        <v>48</v>
      </c>
      <c r="E26" s="12">
        <v>5349</v>
      </c>
      <c r="F26" s="12">
        <v>5358</v>
      </c>
      <c r="G26" s="11">
        <f t="shared" si="0"/>
        <v>111.4</v>
      </c>
    </row>
    <row r="27" spans="1:7" ht="15">
      <c r="A27" s="7" t="s">
        <v>90</v>
      </c>
      <c r="B27" s="8" t="s">
        <v>91</v>
      </c>
      <c r="C27" s="8" t="s">
        <v>89</v>
      </c>
      <c r="D27" s="8">
        <v>28</v>
      </c>
      <c r="E27" s="12">
        <v>2392</v>
      </c>
      <c r="F27" s="12">
        <v>2411</v>
      </c>
      <c r="G27" s="11">
        <f t="shared" si="0"/>
        <v>85.4</v>
      </c>
    </row>
    <row r="28" spans="1:7" ht="15">
      <c r="A28" s="7" t="s">
        <v>92</v>
      </c>
      <c r="B28" s="8" t="s">
        <v>93</v>
      </c>
      <c r="C28" s="8" t="s">
        <v>89</v>
      </c>
      <c r="D28" s="8">
        <v>48</v>
      </c>
      <c r="E28" s="12">
        <v>4795</v>
      </c>
      <c r="F28" s="12">
        <v>5173</v>
      </c>
      <c r="G28" s="11">
        <f t="shared" si="0"/>
        <v>99.9</v>
      </c>
    </row>
    <row r="29" spans="1:7" ht="15">
      <c r="A29" s="7" t="s">
        <v>94</v>
      </c>
      <c r="B29" s="8" t="s">
        <v>95</v>
      </c>
      <c r="C29" s="8" t="s">
        <v>89</v>
      </c>
      <c r="D29" s="8">
        <v>32</v>
      </c>
      <c r="E29" s="12">
        <v>3243</v>
      </c>
      <c r="F29" s="12">
        <v>3244</v>
      </c>
      <c r="G29" s="11">
        <f t="shared" si="0"/>
        <v>101.3</v>
      </c>
    </row>
    <row r="30" spans="1:7" ht="15">
      <c r="A30" s="7" t="s">
        <v>97</v>
      </c>
      <c r="B30" s="8" t="s">
        <v>98</v>
      </c>
      <c r="C30" s="8" t="s">
        <v>99</v>
      </c>
      <c r="D30" s="8">
        <v>48</v>
      </c>
      <c r="E30" s="12">
        <v>4366</v>
      </c>
      <c r="F30" s="12">
        <v>4052</v>
      </c>
      <c r="G30" s="11">
        <f t="shared" si="0"/>
        <v>91</v>
      </c>
    </row>
    <row r="31" spans="1:7" ht="15">
      <c r="A31" s="7" t="s">
        <v>100</v>
      </c>
      <c r="B31" s="8" t="s">
        <v>101</v>
      </c>
      <c r="C31" s="8" t="s">
        <v>99</v>
      </c>
      <c r="D31" s="8">
        <v>28</v>
      </c>
      <c r="E31" s="12">
        <v>2584</v>
      </c>
      <c r="F31" s="12">
        <v>2379</v>
      </c>
      <c r="G31" s="11">
        <f t="shared" si="0"/>
        <v>92.3</v>
      </c>
    </row>
    <row r="32" spans="1:7" ht="15">
      <c r="A32" s="7" t="s">
        <v>102</v>
      </c>
      <c r="B32" s="8" t="s">
        <v>103</v>
      </c>
      <c r="C32" s="8" t="s">
        <v>99</v>
      </c>
      <c r="D32" s="8">
        <v>30</v>
      </c>
      <c r="E32" s="12">
        <v>2563</v>
      </c>
      <c r="F32" s="12">
        <v>2558</v>
      </c>
      <c r="G32" s="11">
        <f t="shared" si="0"/>
        <v>85.4</v>
      </c>
    </row>
    <row r="33" spans="1:7" ht="15">
      <c r="A33" s="7" t="s">
        <v>104</v>
      </c>
      <c r="B33" s="8" t="s">
        <v>149</v>
      </c>
      <c r="C33" s="8" t="s">
        <v>106</v>
      </c>
      <c r="D33" s="8">
        <v>28</v>
      </c>
      <c r="E33" s="12">
        <v>1502</v>
      </c>
      <c r="F33" s="12">
        <v>1604</v>
      </c>
      <c r="G33" s="11">
        <f t="shared" si="0"/>
        <v>53.6</v>
      </c>
    </row>
    <row r="34" spans="1:7" ht="15">
      <c r="A34" s="7" t="s">
        <v>107</v>
      </c>
      <c r="B34" s="8" t="s">
        <v>108</v>
      </c>
      <c r="C34" s="8" t="s">
        <v>106</v>
      </c>
      <c r="D34" s="8">
        <v>44</v>
      </c>
      <c r="E34" s="12">
        <v>2671</v>
      </c>
      <c r="F34" s="12">
        <v>2801</v>
      </c>
      <c r="G34" s="11">
        <f t="shared" si="0"/>
        <v>60.7</v>
      </c>
    </row>
    <row r="35" spans="1:7" ht="15">
      <c r="A35" s="7" t="s">
        <v>109</v>
      </c>
      <c r="B35" s="8" t="s">
        <v>110</v>
      </c>
      <c r="C35" s="8" t="s">
        <v>106</v>
      </c>
      <c r="D35" s="8">
        <v>20</v>
      </c>
      <c r="E35" s="12">
        <v>1381</v>
      </c>
      <c r="F35" s="12">
        <v>1490</v>
      </c>
      <c r="G35" s="11">
        <f t="shared" si="0"/>
        <v>69.099999999999994</v>
      </c>
    </row>
    <row r="36" spans="1:7" ht="15">
      <c r="A36" s="7" t="s">
        <v>111</v>
      </c>
      <c r="B36" s="8" t="s">
        <v>112</v>
      </c>
      <c r="C36" s="8" t="s">
        <v>113</v>
      </c>
      <c r="D36" s="8">
        <v>76</v>
      </c>
      <c r="E36" s="12">
        <v>6391</v>
      </c>
      <c r="F36" s="12">
        <v>6725</v>
      </c>
      <c r="G36" s="11">
        <f t="shared" si="0"/>
        <v>84.1</v>
      </c>
    </row>
    <row r="37" spans="1:7" ht="15">
      <c r="A37" s="7" t="s">
        <v>116</v>
      </c>
      <c r="B37" s="8" t="s">
        <v>117</v>
      </c>
      <c r="C37" s="8" t="s">
        <v>113</v>
      </c>
      <c r="D37" s="8">
        <v>28</v>
      </c>
      <c r="E37" s="12">
        <v>2737</v>
      </c>
      <c r="F37" s="12">
        <v>2993</v>
      </c>
      <c r="G37" s="11">
        <f t="shared" si="0"/>
        <v>97.8</v>
      </c>
    </row>
    <row r="38" spans="1:7" ht="15">
      <c r="A38" s="7" t="s">
        <v>118</v>
      </c>
      <c r="B38" s="8" t="s">
        <v>119</v>
      </c>
      <c r="C38" s="8" t="s">
        <v>120</v>
      </c>
      <c r="D38" s="8">
        <v>24</v>
      </c>
      <c r="E38" s="12">
        <v>1216</v>
      </c>
      <c r="F38" s="12">
        <v>1173</v>
      </c>
      <c r="G38" s="11">
        <f t="shared" si="0"/>
        <v>50.7</v>
      </c>
    </row>
    <row r="39" spans="1:7" ht="15">
      <c r="A39" s="7" t="s">
        <v>121</v>
      </c>
      <c r="B39" s="8" t="s">
        <v>122</v>
      </c>
      <c r="C39" s="8" t="s">
        <v>120</v>
      </c>
      <c r="D39" s="8">
        <v>68</v>
      </c>
      <c r="E39" s="12">
        <v>3651</v>
      </c>
      <c r="F39" s="12">
        <v>3850</v>
      </c>
      <c r="G39" s="11">
        <f t="shared" si="0"/>
        <v>53.7</v>
      </c>
    </row>
    <row r="40" spans="1:7" ht="15">
      <c r="A40" s="7" t="s">
        <v>123</v>
      </c>
      <c r="B40" s="8" t="s">
        <v>124</v>
      </c>
      <c r="C40" s="8" t="s">
        <v>120</v>
      </c>
      <c r="D40" s="8">
        <v>30</v>
      </c>
      <c r="E40" s="12">
        <v>2593</v>
      </c>
      <c r="F40" s="12">
        <v>2804</v>
      </c>
      <c r="G40" s="11">
        <f t="shared" si="0"/>
        <v>86.4</v>
      </c>
    </row>
    <row r="41" spans="1:7" ht="15">
      <c r="A41" s="7" t="s">
        <v>125</v>
      </c>
      <c r="B41" s="8" t="s">
        <v>126</v>
      </c>
      <c r="C41" s="8" t="s">
        <v>127</v>
      </c>
      <c r="D41" s="8">
        <v>32</v>
      </c>
      <c r="E41" s="12">
        <v>2771</v>
      </c>
      <c r="F41" s="12">
        <v>2901</v>
      </c>
      <c r="G41" s="11">
        <f t="shared" si="0"/>
        <v>86.6</v>
      </c>
    </row>
    <row r="42" spans="1:7" ht="15">
      <c r="A42" s="7" t="s">
        <v>128</v>
      </c>
      <c r="B42" s="8" t="s">
        <v>129</v>
      </c>
      <c r="C42" s="8" t="s">
        <v>127</v>
      </c>
      <c r="D42" s="8">
        <v>36</v>
      </c>
      <c r="E42" s="12">
        <v>2765</v>
      </c>
      <c r="F42" s="12">
        <v>3027</v>
      </c>
      <c r="G42" s="11">
        <f t="shared" si="0"/>
        <v>76.8</v>
      </c>
    </row>
    <row r="43" spans="1:7" ht="15">
      <c r="A43" s="7" t="s">
        <v>130</v>
      </c>
      <c r="B43" s="8" t="s">
        <v>131</v>
      </c>
      <c r="C43" s="8" t="s">
        <v>127</v>
      </c>
      <c r="D43" s="8">
        <v>40</v>
      </c>
      <c r="E43" s="12">
        <v>1999</v>
      </c>
      <c r="F43" s="12">
        <v>1804</v>
      </c>
      <c r="G43" s="11">
        <f t="shared" si="0"/>
        <v>50</v>
      </c>
    </row>
    <row r="44" spans="1:7" ht="15">
      <c r="A44" s="7" t="s">
        <v>132</v>
      </c>
      <c r="B44" s="8" t="s">
        <v>133</v>
      </c>
      <c r="C44" s="8" t="s">
        <v>127</v>
      </c>
      <c r="D44" s="8">
        <v>30</v>
      </c>
      <c r="E44" s="12">
        <v>2538</v>
      </c>
      <c r="F44" s="12">
        <v>2729</v>
      </c>
      <c r="G44" s="11">
        <f t="shared" si="0"/>
        <v>84.6</v>
      </c>
    </row>
  </sheetData>
  <autoFilter ref="A4:G44" xr:uid="{00000000-0009-0000-0000-000003000000}"/>
  <phoneticPr fontId="1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workbookViewId="0"/>
  </sheetViews>
  <sheetFormatPr defaultRowHeight="14.5"/>
  <cols>
    <col min="1" max="1" width="14" customWidth="1"/>
    <col min="2" max="2" width="70" customWidth="1"/>
    <col min="3" max="3" width="22" customWidth="1"/>
    <col min="4" max="4" width="30" customWidth="1"/>
  </cols>
  <sheetData>
    <row r="1" spans="1:4" ht="20.5">
      <c r="A1" s="1" t="s">
        <v>150</v>
      </c>
      <c r="B1" s="3"/>
      <c r="C1" s="3"/>
      <c r="D1" s="3"/>
    </row>
    <row r="2" spans="1:4" ht="15">
      <c r="A2" s="2" t="s">
        <v>151</v>
      </c>
      <c r="B2" s="3"/>
      <c r="C2" s="3"/>
      <c r="D2" s="3"/>
    </row>
    <row r="3" spans="1:4" ht="15">
      <c r="A3" s="3"/>
      <c r="B3" s="3"/>
      <c r="C3" s="3"/>
      <c r="D3" s="3"/>
    </row>
    <row r="4" spans="1:4">
      <c r="A4" s="6" t="s">
        <v>152</v>
      </c>
      <c r="B4" s="6" t="s">
        <v>153</v>
      </c>
      <c r="C4" s="6" t="s">
        <v>154</v>
      </c>
      <c r="D4" s="6" t="s">
        <v>155</v>
      </c>
    </row>
    <row r="5" spans="1:4" ht="15">
      <c r="A5" s="8" t="s">
        <v>156</v>
      </c>
      <c r="B5" s="8" t="s">
        <v>157</v>
      </c>
      <c r="C5" s="8"/>
      <c r="D5" s="11" t="str">
        <f>INDEX(清理後!$B$5:$B$44,MATCH(MAX(清理後!$E$5:$E$44),清理後!$E$5:$E$44,0))</f>
        <v>YouBike2.0_捷運大安站</v>
      </c>
    </row>
    <row r="6" spans="1:4" ht="15">
      <c r="A6" s="8" t="s">
        <v>158</v>
      </c>
      <c r="B6" s="8" t="s">
        <v>159</v>
      </c>
      <c r="C6" s="8"/>
      <c r="D6" s="11">
        <f>COUNTIF(清理後!$C$5:$C$44,"大安區")</f>
        <v>5</v>
      </c>
    </row>
    <row r="7" spans="1:4" ht="15">
      <c r="A7" s="8" t="s">
        <v>160</v>
      </c>
      <c r="B7" s="8" t="s">
        <v>161</v>
      </c>
      <c r="C7" s="8"/>
      <c r="D7" s="11">
        <f>COUNTIF(清理後!$D$5:$D$44,"&gt;=50")</f>
        <v>9</v>
      </c>
    </row>
    <row r="8" spans="1:4" ht="15">
      <c r="A8" s="8" t="s">
        <v>162</v>
      </c>
      <c r="B8" s="8" t="s">
        <v>163</v>
      </c>
      <c r="C8" s="8"/>
      <c r="D8" s="11" t="str">
        <f>INDEX(清理後!$B$5:$B$44,MATCH(_xlfn.MAXIFS(清理後!$E$5:$E$44,清理後!$C$5:$C$44,"文山區"),清理後!$E$5:$E$44,0))</f>
        <v>YouBike2.0_捷運木柵站</v>
      </c>
    </row>
    <row r="9" spans="1:4" ht="15">
      <c r="A9" s="8" t="s">
        <v>164</v>
      </c>
      <c r="B9" s="8" t="s">
        <v>165</v>
      </c>
      <c r="C9" s="8"/>
      <c r="D9" s="11">
        <f>COUNTIFS(清理後!$C$5:$C$44,"信義區",清理後!$E$5:$E$44,"&gt;=4000")</f>
        <v>2</v>
      </c>
    </row>
    <row r="10" spans="1:4" ht="15">
      <c r="A10" s="3"/>
      <c r="B10" s="3"/>
      <c r="C10" s="3"/>
      <c r="D10" s="3"/>
    </row>
    <row r="11" spans="1:4" ht="15">
      <c r="A11" s="3"/>
      <c r="B11" s="3"/>
      <c r="C11" s="3"/>
      <c r="D11" s="3"/>
    </row>
    <row r="12" spans="1:4" ht="15">
      <c r="A12" s="13" t="s">
        <v>166</v>
      </c>
      <c r="B12" s="3"/>
      <c r="C12" s="3"/>
      <c r="D12" s="19" t="s">
        <v>167</v>
      </c>
    </row>
    <row r="13" spans="1:4" ht="15">
      <c r="A13" s="6" t="s">
        <v>26</v>
      </c>
      <c r="B13" s="6" t="s">
        <v>28</v>
      </c>
      <c r="C13" s="3"/>
      <c r="D13" s="20"/>
    </row>
    <row r="14" spans="1:4" ht="15">
      <c r="A14" s="8" t="s">
        <v>89</v>
      </c>
      <c r="B14" s="8" t="s">
        <v>168</v>
      </c>
      <c r="C14" s="3"/>
      <c r="D14" s="20"/>
    </row>
    <row r="15" spans="1:4" ht="15">
      <c r="A15" s="3"/>
      <c r="B15" s="3"/>
      <c r="C15" s="3"/>
      <c r="D15" s="20"/>
    </row>
    <row r="16" spans="1:4" ht="15">
      <c r="A16" s="3"/>
      <c r="B16" s="3"/>
      <c r="C16" s="3"/>
      <c r="D16" s="20"/>
    </row>
  </sheetData>
  <mergeCells count="1">
    <mergeCell ref="D12:D16"/>
  </mergeCells>
  <phoneticPr fontId="1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9"/>
  <sheetViews>
    <sheetView workbookViewId="0"/>
  </sheetViews>
  <sheetFormatPr defaultRowHeight="14.5"/>
  <cols>
    <col min="1" max="1" width="22" customWidth="1"/>
    <col min="2" max="2" width="13" customWidth="1"/>
    <col min="3" max="3" width="30" customWidth="1"/>
    <col min="4" max="5" width="12" customWidth="1"/>
    <col min="6" max="6" width="3" customWidth="1"/>
    <col min="7" max="7" width="14" customWidth="1"/>
    <col min="8" max="8" width="13" customWidth="1"/>
    <col min="9" max="10" width="10" customWidth="1"/>
  </cols>
  <sheetData>
    <row r="1" spans="1:10" ht="20.5">
      <c r="A1" s="1" t="s">
        <v>169</v>
      </c>
      <c r="B1" s="3"/>
      <c r="C1" s="3"/>
      <c r="D1" s="3"/>
      <c r="E1" s="3"/>
      <c r="F1" s="3"/>
      <c r="G1" s="3"/>
      <c r="H1" s="3"/>
      <c r="I1" s="3"/>
      <c r="J1" s="3"/>
    </row>
    <row r="2" spans="1:10" ht="15">
      <c r="A2" s="2" t="s">
        <v>170</v>
      </c>
      <c r="B2" s="3"/>
      <c r="C2" s="3"/>
      <c r="D2" s="3"/>
      <c r="E2" s="3"/>
      <c r="F2" s="3"/>
      <c r="G2" s="3"/>
      <c r="H2" s="3"/>
      <c r="I2" s="3"/>
      <c r="J2" s="3"/>
    </row>
    <row r="3" spans="1:10" ht="15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ht="15">
      <c r="A4" s="6" t="s">
        <v>171</v>
      </c>
      <c r="B4" s="6" t="s">
        <v>172</v>
      </c>
      <c r="C4" s="6" t="s">
        <v>173</v>
      </c>
      <c r="D4" s="3"/>
      <c r="E4" s="3"/>
      <c r="F4" s="3"/>
      <c r="G4" s="13" t="s">
        <v>174</v>
      </c>
      <c r="H4" s="3"/>
      <c r="I4" s="3"/>
      <c r="J4" s="3"/>
    </row>
    <row r="5" spans="1:10" ht="15">
      <c r="A5" s="8" t="s">
        <v>175</v>
      </c>
      <c r="B5" s="14">
        <f>ROUND(AVERAGE(清理後!$E$5:$E$44),0)</f>
        <v>3870</v>
      </c>
      <c r="C5" s="8" t="s">
        <v>176</v>
      </c>
      <c r="D5" s="3"/>
      <c r="E5" s="3"/>
      <c r="F5" s="3"/>
      <c r="G5" s="6" t="s">
        <v>177</v>
      </c>
      <c r="H5" s="6" t="s">
        <v>178</v>
      </c>
      <c r="I5" s="3"/>
      <c r="J5" s="3"/>
    </row>
    <row r="6" spans="1:10" ht="15">
      <c r="A6" s="8" t="s">
        <v>179</v>
      </c>
      <c r="B6" s="14">
        <f>MEDIAN(清理後!$E$5:$E$44)</f>
        <v>3240.5</v>
      </c>
      <c r="C6" s="8" t="s">
        <v>180</v>
      </c>
      <c r="D6" s="3"/>
      <c r="E6" s="3"/>
      <c r="F6" s="3"/>
      <c r="G6" s="8" t="s">
        <v>181</v>
      </c>
      <c r="H6" s="12">
        <v>30000</v>
      </c>
      <c r="I6" s="3"/>
      <c r="J6" s="3"/>
    </row>
    <row r="7" spans="1:10" ht="15">
      <c r="A7" s="8" t="s">
        <v>182</v>
      </c>
      <c r="B7" s="14">
        <f>ROUND(STDEV(清理後!$E$5:$E$44),0)</f>
        <v>2081</v>
      </c>
      <c r="C7" s="8" t="s">
        <v>183</v>
      </c>
      <c r="D7" s="3"/>
      <c r="E7" s="3"/>
      <c r="F7" s="3"/>
      <c r="G7" s="8" t="s">
        <v>184</v>
      </c>
      <c r="H7" s="12">
        <v>30000</v>
      </c>
      <c r="I7" s="3"/>
      <c r="J7" s="3"/>
    </row>
    <row r="8" spans="1:10" ht="15">
      <c r="A8" s="8" t="s">
        <v>185</v>
      </c>
      <c r="B8" s="14">
        <f>MAX(清理後!$E$5:$E$44)</f>
        <v>8885</v>
      </c>
      <c r="C8" s="8" t="s">
        <v>186</v>
      </c>
      <c r="D8" s="3"/>
      <c r="E8" s="3"/>
      <c r="F8" s="3"/>
      <c r="G8" s="8" t="s">
        <v>187</v>
      </c>
      <c r="H8" s="12">
        <v>30000</v>
      </c>
      <c r="I8" s="3"/>
      <c r="J8" s="3"/>
    </row>
    <row r="9" spans="1:10" ht="15">
      <c r="A9" s="8" t="s">
        <v>188</v>
      </c>
      <c r="B9" s="14">
        <f>MIN(清理後!$E$5:$E$44)</f>
        <v>1216</v>
      </c>
      <c r="C9" s="8" t="s">
        <v>189</v>
      </c>
      <c r="D9" s="3"/>
      <c r="E9" s="3"/>
      <c r="F9" s="3"/>
      <c r="G9" s="8" t="s">
        <v>190</v>
      </c>
      <c r="H9" s="12">
        <v>30000</v>
      </c>
      <c r="I9" s="3"/>
      <c r="J9" s="3"/>
    </row>
    <row r="10" spans="1:10" ht="15">
      <c r="A10" s="8" t="s">
        <v>191</v>
      </c>
      <c r="B10" s="14">
        <f>COUNT(清理後!$E$5:$E$44)</f>
        <v>40</v>
      </c>
      <c r="C10" s="8" t="s">
        <v>192</v>
      </c>
      <c r="D10" s="3"/>
      <c r="E10" s="3"/>
      <c r="F10" s="3"/>
      <c r="G10" s="8" t="s">
        <v>193</v>
      </c>
      <c r="H10" s="12">
        <v>30000</v>
      </c>
      <c r="I10" s="3"/>
      <c r="J10" s="3"/>
    </row>
    <row r="11" spans="1:10" ht="15">
      <c r="A11" s="8" t="s">
        <v>194</v>
      </c>
      <c r="B11" s="14">
        <f>COUNTIF(清理後!$E$5:$E$44,"&gt;=4000")</f>
        <v>13</v>
      </c>
      <c r="C11" s="8" t="s">
        <v>195</v>
      </c>
      <c r="D11" s="3"/>
      <c r="E11" s="3"/>
      <c r="F11" s="3"/>
      <c r="G11" s="8" t="s">
        <v>196</v>
      </c>
      <c r="H11" s="12">
        <v>30000</v>
      </c>
      <c r="I11" s="3"/>
      <c r="J11" s="3"/>
    </row>
    <row r="12" spans="1:10" ht="15">
      <c r="A12" s="8" t="s">
        <v>197</v>
      </c>
      <c r="B12" s="14">
        <f>MODE(清理後!$D$5:$D$44)</f>
        <v>28</v>
      </c>
      <c r="C12" s="8" t="s">
        <v>198</v>
      </c>
      <c r="D12" s="3"/>
      <c r="E12" s="3"/>
      <c r="F12" s="3"/>
      <c r="G12" s="8" t="s">
        <v>199</v>
      </c>
      <c r="H12" s="12">
        <v>30000</v>
      </c>
      <c r="I12" s="3"/>
      <c r="J12" s="3"/>
    </row>
    <row r="13" spans="1:10" ht="15">
      <c r="A13" s="3"/>
      <c r="B13" s="3"/>
      <c r="C13" s="3"/>
      <c r="D13" s="3"/>
      <c r="E13" s="3"/>
      <c r="F13" s="3"/>
      <c r="G13" s="8" t="s">
        <v>200</v>
      </c>
      <c r="H13" s="12">
        <v>30000</v>
      </c>
      <c r="I13" s="3"/>
      <c r="J13" s="3"/>
    </row>
    <row r="14" spans="1:10" ht="15">
      <c r="A14" s="3"/>
      <c r="B14" s="3"/>
      <c r="C14" s="3"/>
      <c r="D14" s="3"/>
      <c r="E14" s="3"/>
      <c r="F14" s="3"/>
      <c r="G14" s="8" t="s">
        <v>201</v>
      </c>
      <c r="H14" s="12">
        <v>30000</v>
      </c>
      <c r="I14" s="3"/>
      <c r="J14" s="3"/>
    </row>
    <row r="15" spans="1:10" ht="15">
      <c r="A15" s="13" t="s">
        <v>202</v>
      </c>
      <c r="B15" s="3"/>
      <c r="C15" s="3"/>
      <c r="D15" s="3"/>
      <c r="E15" s="3"/>
      <c r="F15" s="3"/>
      <c r="G15" s="8" t="s">
        <v>203</v>
      </c>
      <c r="H15" s="12">
        <v>1000000</v>
      </c>
      <c r="I15" s="3"/>
      <c r="J15" s="3"/>
    </row>
    <row r="16" spans="1:10" ht="34" customHeight="1">
      <c r="A16" s="6" t="s">
        <v>26</v>
      </c>
      <c r="B16" s="6" t="s">
        <v>204</v>
      </c>
      <c r="C16" s="6" t="s">
        <v>205</v>
      </c>
      <c r="D16" s="6" t="s">
        <v>206</v>
      </c>
      <c r="E16" s="6" t="s">
        <v>207</v>
      </c>
      <c r="F16" s="3"/>
      <c r="G16" s="3"/>
      <c r="H16" s="3"/>
      <c r="I16" s="3"/>
      <c r="J16" s="3"/>
    </row>
    <row r="17" spans="1:10" ht="15">
      <c r="A17" s="8" t="s">
        <v>32</v>
      </c>
      <c r="B17" s="14">
        <f>COUNTIF(清理後!$C$5:$C$44,A17)</f>
        <v>4</v>
      </c>
      <c r="C17" s="14">
        <f>SUMIF(清理後!$C$5:$C$44,A17,清理後!$E$5:$E$44)</f>
        <v>21757</v>
      </c>
      <c r="D17" s="14">
        <f>ROUND(AVERAGEIF(清理後!$C$5:$C$44,A17,清理後!$E$5:$E$44),0)</f>
        <v>5439</v>
      </c>
      <c r="E17" s="14">
        <f>SUMIF(清理後!$C$5:$C$44,A17,清理後!$D$5:$D$44)</f>
        <v>210</v>
      </c>
      <c r="F17" s="3"/>
      <c r="G17" s="3" t="s">
        <v>208</v>
      </c>
      <c r="H17" s="15">
        <f>AVERAGE(H6:H15)</f>
        <v>127000</v>
      </c>
      <c r="I17" s="3"/>
      <c r="J17" s="3"/>
    </row>
    <row r="18" spans="1:10" ht="15">
      <c r="A18" s="8" t="s">
        <v>42</v>
      </c>
      <c r="B18" s="14">
        <f>COUNTIF(清理後!$C$5:$C$44,A18)</f>
        <v>3</v>
      </c>
      <c r="C18" s="14">
        <f>SUMIF(清理後!$C$5:$C$44,A18,清理後!$E$5:$E$44)</f>
        <v>7371</v>
      </c>
      <c r="D18" s="14">
        <f>ROUND(AVERAGEIF(清理後!$C$5:$C$44,A18,清理後!$E$5:$E$44),0)</f>
        <v>2457</v>
      </c>
      <c r="E18" s="14">
        <f>SUMIF(清理後!$C$5:$C$44,A18,清理後!$D$5:$D$44)</f>
        <v>92</v>
      </c>
      <c r="F18" s="3"/>
      <c r="G18" s="3" t="s">
        <v>209</v>
      </c>
      <c r="H18" s="15">
        <f>MEDIAN(H6:H15)</f>
        <v>30000</v>
      </c>
      <c r="I18" s="3"/>
      <c r="J18" s="3"/>
    </row>
    <row r="19" spans="1:10" ht="15">
      <c r="A19" s="8" t="s">
        <v>52</v>
      </c>
      <c r="B19" s="14">
        <f>COUNTIF(清理後!$C$5:$C$44,A19)</f>
        <v>4</v>
      </c>
      <c r="C19" s="14">
        <f>SUMIF(清理後!$C$5:$C$44,A19,清理後!$E$5:$E$44)</f>
        <v>21276</v>
      </c>
      <c r="D19" s="14">
        <f>ROUND(AVERAGEIF(清理後!$C$5:$C$44,A19,清理後!$E$5:$E$44),0)</f>
        <v>5319</v>
      </c>
      <c r="E19" s="14">
        <f>SUMIF(清理後!$C$5:$C$44,A19,清理後!$D$5:$D$44)</f>
        <v>204</v>
      </c>
      <c r="F19" s="3"/>
      <c r="G19" s="3"/>
      <c r="H19" s="3"/>
      <c r="I19" s="3"/>
      <c r="J19" s="3"/>
    </row>
    <row r="20" spans="1:10" ht="15">
      <c r="A20" s="8" t="s">
        <v>60</v>
      </c>
      <c r="B20" s="14">
        <f>COUNTIF(清理後!$C$5:$C$44,A20)</f>
        <v>2</v>
      </c>
      <c r="C20" s="14">
        <f>SUMIF(清理後!$C$5:$C$44,A20,清理後!$E$5:$E$44)</f>
        <v>9355</v>
      </c>
      <c r="D20" s="14">
        <f>ROUND(AVERAGEIF(清理後!$C$5:$C$44,A20,清理後!$E$5:$E$44),0)</f>
        <v>4678</v>
      </c>
      <c r="E20" s="14">
        <f>SUMIF(清理後!$C$5:$C$44,A20,清理後!$D$5:$D$44)</f>
        <v>116</v>
      </c>
      <c r="F20" s="3"/>
      <c r="G20" s="19" t="s">
        <v>210</v>
      </c>
      <c r="H20" s="20"/>
      <c r="I20" s="20"/>
      <c r="J20" s="20"/>
    </row>
    <row r="21" spans="1:10" ht="15">
      <c r="A21" s="8" t="s">
        <v>67</v>
      </c>
      <c r="B21" s="14">
        <f>COUNTIF(清理後!$C$5:$C$44,A21)</f>
        <v>5</v>
      </c>
      <c r="C21" s="14">
        <f>SUMIF(清理後!$C$5:$C$44,A21,清理後!$E$5:$E$44)</f>
        <v>28567</v>
      </c>
      <c r="D21" s="14">
        <f>ROUND(AVERAGEIF(清理後!$C$5:$C$44,A21,清理後!$E$5:$E$44),0)</f>
        <v>5713</v>
      </c>
      <c r="E21" s="14">
        <f>SUMIF(清理後!$C$5:$C$44,A21,清理後!$D$5:$D$44)</f>
        <v>204</v>
      </c>
      <c r="F21" s="3"/>
      <c r="G21" s="20"/>
      <c r="H21" s="20"/>
      <c r="I21" s="20"/>
      <c r="J21" s="20"/>
    </row>
    <row r="22" spans="1:10" ht="15">
      <c r="A22" s="8" t="s">
        <v>81</v>
      </c>
      <c r="B22" s="14">
        <f>COUNTIF(清理後!$C$5:$C$44,A22)</f>
        <v>3</v>
      </c>
      <c r="C22" s="14">
        <f>SUMIF(清理後!$C$5:$C$44,A22,清理後!$E$5:$E$44)</f>
        <v>8971</v>
      </c>
      <c r="D22" s="14">
        <f>ROUND(AVERAGEIF(清理後!$C$5:$C$44,A22,清理後!$E$5:$E$44),0)</f>
        <v>2990</v>
      </c>
      <c r="E22" s="14">
        <f>SUMIF(清理後!$C$5:$C$44,A22,清理後!$D$5:$D$44)</f>
        <v>120</v>
      </c>
      <c r="F22" s="3"/>
      <c r="G22" s="20"/>
      <c r="H22" s="20"/>
      <c r="I22" s="20"/>
      <c r="J22" s="20"/>
    </row>
    <row r="23" spans="1:10" ht="15">
      <c r="A23" s="8" t="s">
        <v>89</v>
      </c>
      <c r="B23" s="14">
        <f>COUNTIF(清理後!$C$5:$C$44,A23)</f>
        <v>4</v>
      </c>
      <c r="C23" s="14">
        <f>SUMIF(清理後!$C$5:$C$44,A23,清理後!$E$5:$E$44)</f>
        <v>15779</v>
      </c>
      <c r="D23" s="14">
        <f>ROUND(AVERAGEIF(清理後!$C$5:$C$44,A23,清理後!$E$5:$E$44),0)</f>
        <v>3945</v>
      </c>
      <c r="E23" s="14">
        <f>SUMIF(清理後!$C$5:$C$44,A23,清理後!$D$5:$D$44)</f>
        <v>156</v>
      </c>
      <c r="F23" s="3"/>
      <c r="G23" s="20"/>
      <c r="H23" s="20"/>
      <c r="I23" s="20"/>
      <c r="J23" s="20"/>
    </row>
    <row r="24" spans="1:10" ht="15">
      <c r="A24" s="8" t="s">
        <v>99</v>
      </c>
      <c r="B24" s="14">
        <f>COUNTIF(清理後!$C$5:$C$44,A24)</f>
        <v>3</v>
      </c>
      <c r="C24" s="14">
        <f>SUMIF(清理後!$C$5:$C$44,A24,清理後!$E$5:$E$44)</f>
        <v>9513</v>
      </c>
      <c r="D24" s="14">
        <f>ROUND(AVERAGEIF(清理後!$C$5:$C$44,A24,清理後!$E$5:$E$44),0)</f>
        <v>3171</v>
      </c>
      <c r="E24" s="14">
        <f>SUMIF(清理後!$C$5:$C$44,A24,清理後!$D$5:$D$44)</f>
        <v>106</v>
      </c>
      <c r="F24" s="3"/>
      <c r="G24" s="3"/>
      <c r="H24" s="3"/>
      <c r="I24" s="3"/>
      <c r="J24" s="3"/>
    </row>
    <row r="25" spans="1:10" ht="15">
      <c r="A25" s="8" t="s">
        <v>106</v>
      </c>
      <c r="B25" s="14">
        <f>COUNTIF(清理後!$C$5:$C$44,A25)</f>
        <v>3</v>
      </c>
      <c r="C25" s="14">
        <f>SUMIF(清理後!$C$5:$C$44,A25,清理後!$E$5:$E$44)</f>
        <v>5554</v>
      </c>
      <c r="D25" s="14">
        <f>ROUND(AVERAGEIF(清理後!$C$5:$C$44,A25,清理後!$E$5:$E$44),0)</f>
        <v>1851</v>
      </c>
      <c r="E25" s="14">
        <f>SUMIF(清理後!$C$5:$C$44,A25,清理後!$D$5:$D$44)</f>
        <v>92</v>
      </c>
      <c r="F25" s="3"/>
      <c r="G25" s="3"/>
      <c r="H25" s="3"/>
      <c r="I25" s="3"/>
      <c r="J25" s="3"/>
    </row>
    <row r="26" spans="1:10" ht="15">
      <c r="A26" s="8" t="s">
        <v>113</v>
      </c>
      <c r="B26" s="14">
        <f>COUNTIF(清理後!$C$5:$C$44,A26)</f>
        <v>2</v>
      </c>
      <c r="C26" s="14">
        <f>SUMIF(清理後!$C$5:$C$44,A26,清理後!$E$5:$E$44)</f>
        <v>9128</v>
      </c>
      <c r="D26" s="14">
        <f>ROUND(AVERAGEIF(清理後!$C$5:$C$44,A26,清理後!$E$5:$E$44),0)</f>
        <v>4564</v>
      </c>
      <c r="E26" s="14">
        <f>SUMIF(清理後!$C$5:$C$44,A26,清理後!$D$5:$D$44)</f>
        <v>104</v>
      </c>
      <c r="F26" s="3"/>
      <c r="G26" s="3"/>
      <c r="H26" s="3"/>
      <c r="I26" s="3"/>
      <c r="J26" s="3"/>
    </row>
    <row r="27" spans="1:10" ht="15">
      <c r="A27" s="8" t="s">
        <v>120</v>
      </c>
      <c r="B27" s="14">
        <f>COUNTIF(清理後!$C$5:$C$44,A27)</f>
        <v>3</v>
      </c>
      <c r="C27" s="14">
        <f>SUMIF(清理後!$C$5:$C$44,A27,清理後!$E$5:$E$44)</f>
        <v>7460</v>
      </c>
      <c r="D27" s="14">
        <f>ROUND(AVERAGEIF(清理後!$C$5:$C$44,A27,清理後!$E$5:$E$44),0)</f>
        <v>2487</v>
      </c>
      <c r="E27" s="14">
        <f>SUMIF(清理後!$C$5:$C$44,A27,清理後!$D$5:$D$44)</f>
        <v>122</v>
      </c>
      <c r="F27" s="3"/>
      <c r="G27" s="3"/>
      <c r="H27" s="3"/>
      <c r="I27" s="3"/>
      <c r="J27" s="3"/>
    </row>
    <row r="28" spans="1:10" ht="15">
      <c r="A28" s="8" t="s">
        <v>127</v>
      </c>
      <c r="B28" s="14">
        <f>COUNTIF(清理後!$C$5:$C$44,A28)</f>
        <v>4</v>
      </c>
      <c r="C28" s="14">
        <f>SUMIF(清理後!$C$5:$C$44,A28,清理後!$E$5:$E$44)</f>
        <v>10073</v>
      </c>
      <c r="D28" s="14">
        <f>ROUND(AVERAGEIF(清理後!$C$5:$C$44,A28,清理後!$E$5:$E$44),0)</f>
        <v>2518</v>
      </c>
      <c r="E28" s="14">
        <f>SUMIF(清理後!$C$5:$C$44,A28,清理後!$D$5:$D$44)</f>
        <v>138</v>
      </c>
      <c r="F28" s="3"/>
      <c r="G28" s="3"/>
      <c r="H28" s="3"/>
      <c r="I28" s="3"/>
      <c r="J28" s="3"/>
    </row>
    <row r="29" spans="1:10" ht="15">
      <c r="A29" s="16" t="s">
        <v>211</v>
      </c>
      <c r="B29" s="16">
        <f>SUM(B17:B28)</f>
        <v>40</v>
      </c>
      <c r="C29" s="16">
        <f>SUM(C17:C28)</f>
        <v>154804</v>
      </c>
      <c r="D29" s="3"/>
      <c r="E29" s="16">
        <f>SUM(E17:E28)</f>
        <v>1664</v>
      </c>
      <c r="F29" s="3"/>
      <c r="G29" s="3"/>
      <c r="H29" s="3"/>
      <c r="I29" s="3"/>
      <c r="J29" s="3"/>
    </row>
  </sheetData>
  <mergeCells count="1">
    <mergeCell ref="G20:J23"/>
  </mergeCells>
  <phoneticPr fontId="1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8"/>
  <sheetViews>
    <sheetView workbookViewId="0"/>
  </sheetViews>
  <sheetFormatPr defaultRowHeight="14.5"/>
  <cols>
    <col min="1" max="3" width="10" customWidth="1"/>
  </cols>
  <sheetData>
    <row r="1" spans="1:3" ht="20.5">
      <c r="A1" s="1" t="s">
        <v>212</v>
      </c>
      <c r="B1" s="3"/>
      <c r="C1" s="3"/>
    </row>
    <row r="2" spans="1:3" ht="15">
      <c r="A2" s="2" t="s">
        <v>213</v>
      </c>
      <c r="B2" s="3"/>
      <c r="C2" s="3"/>
    </row>
    <row r="3" spans="1:3" ht="15">
      <c r="A3" s="3"/>
      <c r="B3" s="3"/>
      <c r="C3" s="3"/>
    </row>
    <row r="4" spans="1:3">
      <c r="A4" s="6" t="s">
        <v>214</v>
      </c>
      <c r="B4" s="6" t="s">
        <v>215</v>
      </c>
      <c r="C4" s="6" t="s">
        <v>216</v>
      </c>
    </row>
    <row r="5" spans="1:3" ht="15">
      <c r="A5" s="8" t="s">
        <v>217</v>
      </c>
      <c r="B5" s="12">
        <v>261</v>
      </c>
      <c r="C5" s="12">
        <v>266</v>
      </c>
    </row>
    <row r="6" spans="1:3" ht="15">
      <c r="A6" s="8" t="s">
        <v>218</v>
      </c>
      <c r="B6" s="12">
        <v>226</v>
      </c>
      <c r="C6" s="12">
        <v>200</v>
      </c>
    </row>
    <row r="7" spans="1:3" ht="15">
      <c r="A7" s="8" t="s">
        <v>219</v>
      </c>
      <c r="B7" s="12">
        <v>244</v>
      </c>
      <c r="C7" s="12">
        <v>176</v>
      </c>
    </row>
    <row r="8" spans="1:3" ht="15">
      <c r="A8" s="8" t="s">
        <v>220</v>
      </c>
      <c r="B8" s="12">
        <v>293</v>
      </c>
      <c r="C8" s="12">
        <v>167</v>
      </c>
    </row>
    <row r="9" spans="1:3" ht="15">
      <c r="A9" s="8" t="s">
        <v>221</v>
      </c>
      <c r="B9" s="12">
        <v>337</v>
      </c>
      <c r="C9" s="12">
        <v>186</v>
      </c>
    </row>
    <row r="10" spans="1:3" ht="15">
      <c r="A10" s="8" t="s">
        <v>222</v>
      </c>
      <c r="B10" s="12">
        <v>387</v>
      </c>
      <c r="C10" s="12">
        <v>185</v>
      </c>
    </row>
    <row r="11" spans="1:3" ht="15">
      <c r="A11" s="8" t="s">
        <v>223</v>
      </c>
      <c r="B11" s="12">
        <v>669</v>
      </c>
      <c r="C11" s="12">
        <v>205</v>
      </c>
    </row>
    <row r="12" spans="1:3" ht="15">
      <c r="A12" s="8" t="s">
        <v>224</v>
      </c>
      <c r="B12" s="12">
        <v>2644</v>
      </c>
      <c r="C12" s="12">
        <v>224</v>
      </c>
    </row>
    <row r="13" spans="1:3" ht="15">
      <c r="A13" s="8" t="s">
        <v>225</v>
      </c>
      <c r="B13" s="12">
        <v>4531</v>
      </c>
      <c r="C13" s="12">
        <v>289</v>
      </c>
    </row>
    <row r="14" spans="1:3" ht="15">
      <c r="A14" s="8" t="s">
        <v>226</v>
      </c>
      <c r="B14" s="12">
        <v>2626</v>
      </c>
      <c r="C14" s="12">
        <v>403</v>
      </c>
    </row>
    <row r="15" spans="1:3" ht="15">
      <c r="A15" s="8" t="s">
        <v>227</v>
      </c>
      <c r="B15" s="12">
        <v>910</v>
      </c>
      <c r="C15" s="12">
        <v>624</v>
      </c>
    </row>
    <row r="16" spans="1:3" ht="15">
      <c r="A16" s="8" t="s">
        <v>228</v>
      </c>
      <c r="B16" s="12">
        <v>885</v>
      </c>
      <c r="C16" s="12">
        <v>1001</v>
      </c>
    </row>
    <row r="17" spans="1:3" ht="15">
      <c r="A17" s="8" t="s">
        <v>229</v>
      </c>
      <c r="B17" s="12">
        <v>1083</v>
      </c>
      <c r="C17" s="12">
        <v>1621</v>
      </c>
    </row>
    <row r="18" spans="1:3" ht="15">
      <c r="A18" s="8" t="s">
        <v>230</v>
      </c>
      <c r="B18" s="12">
        <v>1194</v>
      </c>
      <c r="C18" s="12">
        <v>2260</v>
      </c>
    </row>
    <row r="19" spans="1:3" ht="15">
      <c r="A19" s="8" t="s">
        <v>231</v>
      </c>
      <c r="B19" s="12">
        <v>1057</v>
      </c>
      <c r="C19" s="12">
        <v>2508</v>
      </c>
    </row>
    <row r="20" spans="1:3" ht="15">
      <c r="A20" s="8" t="s">
        <v>232</v>
      </c>
      <c r="B20" s="12">
        <v>888</v>
      </c>
      <c r="C20" s="12">
        <v>2861</v>
      </c>
    </row>
    <row r="21" spans="1:3" ht="15">
      <c r="A21" s="8" t="s">
        <v>233</v>
      </c>
      <c r="B21" s="12">
        <v>1164</v>
      </c>
      <c r="C21" s="12">
        <v>2571</v>
      </c>
    </row>
    <row r="22" spans="1:3" ht="15">
      <c r="A22" s="8" t="s">
        <v>234</v>
      </c>
      <c r="B22" s="12">
        <v>2713</v>
      </c>
      <c r="C22" s="12">
        <v>2205</v>
      </c>
    </row>
    <row r="23" spans="1:3" ht="15">
      <c r="A23" s="8" t="s">
        <v>235</v>
      </c>
      <c r="B23" s="12">
        <v>4252</v>
      </c>
      <c r="C23" s="12">
        <v>1617</v>
      </c>
    </row>
    <row r="24" spans="1:3" ht="15">
      <c r="A24" s="8" t="s">
        <v>236</v>
      </c>
      <c r="B24" s="12">
        <v>2775</v>
      </c>
      <c r="C24" s="12">
        <v>1059</v>
      </c>
    </row>
    <row r="25" spans="1:3" ht="15">
      <c r="A25" s="8" t="s">
        <v>237</v>
      </c>
      <c r="B25" s="12">
        <v>951</v>
      </c>
      <c r="C25" s="12">
        <v>605</v>
      </c>
    </row>
    <row r="26" spans="1:3" ht="15">
      <c r="A26" s="8" t="s">
        <v>238</v>
      </c>
      <c r="B26" s="12">
        <v>355</v>
      </c>
      <c r="C26" s="12">
        <v>391</v>
      </c>
    </row>
    <row r="27" spans="1:3" ht="15">
      <c r="A27" s="8" t="s">
        <v>239</v>
      </c>
      <c r="B27" s="12">
        <v>317</v>
      </c>
      <c r="C27" s="12">
        <v>273</v>
      </c>
    </row>
    <row r="28" spans="1:3" ht="15">
      <c r="A28" s="8" t="s">
        <v>240</v>
      </c>
      <c r="B28" s="12">
        <v>289</v>
      </c>
      <c r="C28" s="12">
        <v>231</v>
      </c>
    </row>
  </sheetData>
  <phoneticPr fontId="1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41"/>
  <sheetViews>
    <sheetView workbookViewId="0"/>
  </sheetViews>
  <sheetFormatPr defaultRowHeight="14.5"/>
  <sheetData>
    <row r="1" spans="1:21" ht="20.5">
      <c r="A1" s="1" t="s">
        <v>241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15">
      <c r="A2" s="2" t="s">
        <v>242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ht="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ht="1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ht="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ht="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ht="1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ht="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ht="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ht="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ht="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ht="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ht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ht="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ht="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ht="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ht="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ht="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ht="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ht="15">
      <c r="A22" s="3"/>
      <c r="B22" s="3"/>
      <c r="C22" s="3"/>
      <c r="D22" s="3"/>
      <c r="E22" s="3"/>
      <c r="F22" s="3"/>
      <c r="G22" s="3"/>
      <c r="H22" s="3"/>
      <c r="I22" s="3"/>
      <c r="J22" s="3"/>
      <c r="K22" s="17" t="s">
        <v>243</v>
      </c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ht="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ht="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ht="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ht="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ht="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ht="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ht="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ht="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ht="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ht="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ht="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ht="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ht="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ht="15">
      <c r="A38" s="3"/>
      <c r="B38" s="3"/>
      <c r="C38" s="3"/>
      <c r="D38" s="3"/>
      <c r="E38" s="3"/>
      <c r="F38" s="3"/>
      <c r="G38" s="3"/>
      <c r="H38" s="3"/>
      <c r="I38" s="3"/>
      <c r="J38" s="3"/>
      <c r="K38" s="19" t="s">
        <v>244</v>
      </c>
      <c r="L38" s="20"/>
      <c r="M38" s="20"/>
      <c r="N38" s="20"/>
      <c r="O38" s="20"/>
      <c r="P38" s="20"/>
      <c r="Q38" s="20"/>
      <c r="R38" s="20"/>
      <c r="S38" s="20"/>
      <c r="T38" s="20"/>
      <c r="U38" s="20"/>
    </row>
    <row r="39" spans="1:21" ht="15">
      <c r="A39" s="3"/>
      <c r="B39" s="3"/>
      <c r="C39" s="3"/>
      <c r="D39" s="3"/>
      <c r="E39" s="3"/>
      <c r="F39" s="3"/>
      <c r="G39" s="3"/>
      <c r="H39" s="3"/>
      <c r="I39" s="3"/>
      <c r="J39" s="3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</row>
    <row r="40" spans="1:21" ht="15">
      <c r="A40" s="3"/>
      <c r="B40" s="3"/>
      <c r="C40" s="3"/>
      <c r="D40" s="3"/>
      <c r="E40" s="3"/>
      <c r="F40" s="3"/>
      <c r="G40" s="3"/>
      <c r="H40" s="3"/>
      <c r="I40" s="3"/>
      <c r="J40" s="3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spans="1:21" ht="15">
      <c r="A41" s="3"/>
      <c r="B41" s="3"/>
      <c r="C41" s="3"/>
      <c r="D41" s="3"/>
      <c r="E41" s="3"/>
      <c r="F41" s="3"/>
      <c r="G41" s="3"/>
      <c r="H41" s="3"/>
      <c r="I41" s="3"/>
      <c r="J41" s="3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</sheetData>
  <mergeCells count="1">
    <mergeCell ref="K38:U41"/>
  </mergeCells>
  <phoneticPr fontId="11" type="noConversion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/>
  </sheetViews>
  <sheetFormatPr defaultRowHeight="14.5"/>
  <cols>
    <col min="1" max="1" width="9" customWidth="1"/>
    <col min="2" max="2" width="26" customWidth="1"/>
    <col min="3" max="3" width="80" customWidth="1"/>
  </cols>
  <sheetData>
    <row r="1" spans="1:3" ht="20.5">
      <c r="A1" s="1" t="s">
        <v>245</v>
      </c>
      <c r="B1" s="3"/>
      <c r="C1" s="3"/>
    </row>
    <row r="2" spans="1:3" ht="15">
      <c r="A2" s="2" t="s">
        <v>246</v>
      </c>
      <c r="B2" s="3"/>
      <c r="C2" s="3"/>
    </row>
    <row r="3" spans="1:3" ht="15">
      <c r="A3" s="3"/>
      <c r="B3" s="3"/>
      <c r="C3" s="3"/>
    </row>
    <row r="4" spans="1:3">
      <c r="A4" s="6"/>
      <c r="B4" s="6" t="s">
        <v>247</v>
      </c>
      <c r="C4" s="6" t="s">
        <v>248</v>
      </c>
    </row>
    <row r="5" spans="1:3" ht="62" customHeight="1">
      <c r="A5" s="18" t="s">
        <v>249</v>
      </c>
      <c r="B5" s="18" t="s">
        <v>250</v>
      </c>
      <c r="C5" s="18" t="s">
        <v>251</v>
      </c>
    </row>
    <row r="6" spans="1:3" ht="62" customHeight="1">
      <c r="A6" s="18" t="s">
        <v>252</v>
      </c>
      <c r="B6" s="18" t="s">
        <v>253</v>
      </c>
      <c r="C6" s="18" t="s">
        <v>254</v>
      </c>
    </row>
    <row r="7" spans="1:3" ht="62" customHeight="1">
      <c r="A7" s="18" t="s">
        <v>255</v>
      </c>
      <c r="B7" s="18" t="s">
        <v>256</v>
      </c>
      <c r="C7" s="18" t="s">
        <v>257</v>
      </c>
    </row>
  </sheetData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說明</vt:lpstr>
      <vt:lpstr>原始資料</vt:lpstr>
      <vt:lpstr>清理步驟</vt:lpstr>
      <vt:lpstr>清理後</vt:lpstr>
      <vt:lpstr>篩選練習</vt:lpstr>
      <vt:lpstr>統計</vt:lpstr>
      <vt:lpstr>時段資料</vt:lpstr>
      <vt:lpstr>圖表</vt:lpstr>
      <vt:lpstr>洞見範例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hs</cp:lastModifiedBy>
  <dcterms:created xsi:type="dcterms:W3CDTF">2026-10-16T07:26:44Z</dcterms:created>
  <dcterms:modified xsi:type="dcterms:W3CDTF">2026-10-16T07:26:49Z</dcterms:modified>
</cp:coreProperties>
</file>