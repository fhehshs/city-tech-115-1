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hs\AppData\Local\Temp\xl\"/>
    </mc:Choice>
  </mc:AlternateContent>
  <xr:revisionPtr revIDLastSave="0" documentId="13_ncr:1_{D183126E-E852-4317-B56D-4B6456FD7D58}" xr6:coauthVersionLast="47" xr6:coauthVersionMax="47" xr10:uidLastSave="{00000000-0000-0000-0000-000000000000}"/>
  <bookViews>
    <workbookView xWindow="1200" yWindow="1200" windowWidth="9600" windowHeight="4890" xr2:uid="{00000000-000D-0000-FFFF-FFFF00000000}"/>
  </bookViews>
  <sheets>
    <sheet name="說明" sheetId="1" r:id="rId1"/>
    <sheet name="成績表" sheetId="2" r:id="rId2"/>
    <sheet name="等第表" sheetId="3" r:id="rId3"/>
    <sheet name="統計摘要" sheetId="4" r:id="rId4"/>
    <sheet name="查詢" sheetId="5" r:id="rId5"/>
    <sheet name="文字與日期" sheetId="6" r:id="rId6"/>
    <sheet name="樞紐練習資料" sheetId="7" r:id="rId7"/>
    <sheet name="樞紐參考答案" sheetId="8" r:id="rId8"/>
    <sheet name="成績分布" sheetId="9" r:id="rId9"/>
    <sheet name="趨勢預測" sheetId="10" r:id="rId10"/>
    <sheet name="相關分析" sheetId="11" r:id="rId11"/>
  </sheets>
  <definedNames>
    <definedName name="_xlnm._FilterDatabase" localSheetId="1" hidden="1">成績表!$A$4:$O$34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34" i="11" l="1"/>
  <c r="A34" i="11"/>
  <c r="B33" i="11"/>
  <c r="A33" i="11"/>
  <c r="B32" i="11"/>
  <c r="A32" i="11"/>
  <c r="B31" i="11"/>
  <c r="A31" i="11"/>
  <c r="B30" i="11"/>
  <c r="A30" i="11"/>
  <c r="B29" i="11"/>
  <c r="A29" i="11"/>
  <c r="B28" i="11"/>
  <c r="A28" i="11"/>
  <c r="B27" i="11"/>
  <c r="A27" i="11"/>
  <c r="B26" i="11"/>
  <c r="A26" i="11"/>
  <c r="B25" i="11"/>
  <c r="A25" i="11"/>
  <c r="B24" i="11"/>
  <c r="A24" i="11"/>
  <c r="B23" i="11"/>
  <c r="A23" i="11"/>
  <c r="B22" i="11"/>
  <c r="A22" i="11"/>
  <c r="B21" i="11"/>
  <c r="A21" i="11"/>
  <c r="B20" i="11"/>
  <c r="A20" i="11"/>
  <c r="B19" i="11"/>
  <c r="A19" i="11"/>
  <c r="B18" i="11"/>
  <c r="A18" i="11"/>
  <c r="B17" i="11"/>
  <c r="A17" i="11"/>
  <c r="B16" i="11"/>
  <c r="A16" i="11"/>
  <c r="B15" i="11"/>
  <c r="A15" i="11"/>
  <c r="B14" i="11"/>
  <c r="A14" i="11"/>
  <c r="B13" i="11"/>
  <c r="A13" i="11"/>
  <c r="B12" i="11"/>
  <c r="A12" i="11"/>
  <c r="B11" i="11"/>
  <c r="A11" i="11"/>
  <c r="B10" i="11"/>
  <c r="A10" i="11"/>
  <c r="B9" i="11"/>
  <c r="A9" i="11"/>
  <c r="B8" i="11"/>
  <c r="A8" i="11"/>
  <c r="B7" i="11"/>
  <c r="A7" i="11"/>
  <c r="B6" i="11"/>
  <c r="A6" i="11"/>
  <c r="B5" i="11"/>
  <c r="A5" i="11"/>
  <c r="B13" i="10"/>
  <c r="B12" i="10"/>
  <c r="E8" i="8"/>
  <c r="D8" i="8"/>
  <c r="C8" i="8"/>
  <c r="B8" i="8"/>
  <c r="E7" i="8"/>
  <c r="D7" i="8"/>
  <c r="C7" i="8"/>
  <c r="B7" i="8"/>
  <c r="E6" i="8"/>
  <c r="D6" i="8"/>
  <c r="C6" i="8"/>
  <c r="B6" i="8"/>
  <c r="E5" i="8"/>
  <c r="D5" i="8"/>
  <c r="C5" i="8"/>
  <c r="B5" i="8"/>
  <c r="J16" i="6"/>
  <c r="I16" i="6"/>
  <c r="E16" i="6"/>
  <c r="B16" i="6"/>
  <c r="F16" i="6" s="1"/>
  <c r="A16" i="6"/>
  <c r="D16" i="6" s="1"/>
  <c r="J15" i="6"/>
  <c r="I15" i="6"/>
  <c r="G15" i="6"/>
  <c r="B15" i="6"/>
  <c r="F15" i="6" s="1"/>
  <c r="A15" i="6"/>
  <c r="D15" i="6" s="1"/>
  <c r="J14" i="6"/>
  <c r="I14" i="6"/>
  <c r="F14" i="6"/>
  <c r="B14" i="6"/>
  <c r="G14" i="6" s="1"/>
  <c r="A14" i="6"/>
  <c r="E14" i="6" s="1"/>
  <c r="J13" i="6"/>
  <c r="I13" i="6"/>
  <c r="B13" i="6"/>
  <c r="F13" i="6" s="1"/>
  <c r="A13" i="6"/>
  <c r="E13" i="6" s="1"/>
  <c r="J12" i="6"/>
  <c r="I12" i="6"/>
  <c r="E12" i="6"/>
  <c r="B12" i="6"/>
  <c r="G12" i="6" s="1"/>
  <c r="A12" i="6"/>
  <c r="D12" i="6" s="1"/>
  <c r="J11" i="6"/>
  <c r="I11" i="6"/>
  <c r="B11" i="6"/>
  <c r="G11" i="6" s="1"/>
  <c r="A11" i="6"/>
  <c r="E11" i="6" s="1"/>
  <c r="J10" i="6"/>
  <c r="I10" i="6"/>
  <c r="B10" i="6"/>
  <c r="G10" i="6" s="1"/>
  <c r="A10" i="6"/>
  <c r="D10" i="6" s="1"/>
  <c r="J9" i="6"/>
  <c r="I9" i="6"/>
  <c r="D9" i="6"/>
  <c r="B9" i="6"/>
  <c r="G9" i="6" s="1"/>
  <c r="A9" i="6"/>
  <c r="E9" i="6" s="1"/>
  <c r="J8" i="6"/>
  <c r="I8" i="6"/>
  <c r="E8" i="6"/>
  <c r="B8" i="6"/>
  <c r="F8" i="6" s="1"/>
  <c r="A8" i="6"/>
  <c r="D8" i="6" s="1"/>
  <c r="J7" i="6"/>
  <c r="I7" i="6"/>
  <c r="G7" i="6"/>
  <c r="E7" i="6"/>
  <c r="B7" i="6"/>
  <c r="F7" i="6" s="1"/>
  <c r="A7" i="6"/>
  <c r="D7" i="6" s="1"/>
  <c r="J6" i="6"/>
  <c r="I6" i="6"/>
  <c r="F6" i="6"/>
  <c r="B6" i="6"/>
  <c r="G6" i="6" s="1"/>
  <c r="A6" i="6"/>
  <c r="E6" i="6" s="1"/>
  <c r="J5" i="6"/>
  <c r="I5" i="6"/>
  <c r="B5" i="6"/>
  <c r="F5" i="6" s="1"/>
  <c r="A5" i="6"/>
  <c r="E5" i="6" s="1"/>
  <c r="B11" i="5"/>
  <c r="B10" i="5"/>
  <c r="B9" i="5"/>
  <c r="B8" i="5"/>
  <c r="B7" i="5"/>
  <c r="D12" i="4"/>
  <c r="C12" i="4"/>
  <c r="B12" i="4"/>
  <c r="D11" i="4"/>
  <c r="C11" i="4"/>
  <c r="B11" i="4"/>
  <c r="D10" i="4"/>
  <c r="C10" i="4"/>
  <c r="B10" i="4"/>
  <c r="D9" i="4"/>
  <c r="C9" i="4"/>
  <c r="B9" i="4"/>
  <c r="K8" i="4"/>
  <c r="H8" i="4"/>
  <c r="D8" i="4"/>
  <c r="C8" i="4"/>
  <c r="B8" i="4"/>
  <c r="K7" i="4"/>
  <c r="H7" i="4"/>
  <c r="D7" i="4"/>
  <c r="C7" i="4"/>
  <c r="B7" i="4"/>
  <c r="K6" i="4"/>
  <c r="H6" i="4"/>
  <c r="D6" i="4"/>
  <c r="C6" i="4"/>
  <c r="B6" i="4"/>
  <c r="D5" i="4"/>
  <c r="C5" i="4"/>
  <c r="B5" i="4"/>
  <c r="O34" i="2"/>
  <c r="N34" i="2"/>
  <c r="M34" i="2"/>
  <c r="I34" i="2"/>
  <c r="C34" i="11" s="1"/>
  <c r="H34" i="2"/>
  <c r="L34" i="2" s="1"/>
  <c r="O33" i="2"/>
  <c r="N33" i="2"/>
  <c r="M33" i="2"/>
  <c r="I33" i="2"/>
  <c r="C33" i="11" s="1"/>
  <c r="H33" i="2"/>
  <c r="O32" i="2"/>
  <c r="N32" i="2"/>
  <c r="M32" i="2"/>
  <c r="I32" i="2"/>
  <c r="K32" i="2" s="1"/>
  <c r="H32" i="2"/>
  <c r="O31" i="2"/>
  <c r="N31" i="2"/>
  <c r="M31" i="2"/>
  <c r="I31" i="2"/>
  <c r="C31" i="11" s="1"/>
  <c r="H31" i="2"/>
  <c r="L31" i="2" s="1"/>
  <c r="O30" i="2"/>
  <c r="N30" i="2"/>
  <c r="M30" i="2"/>
  <c r="I30" i="2"/>
  <c r="K30" i="2" s="1"/>
  <c r="H30" i="2"/>
  <c r="L30" i="2" s="1"/>
  <c r="O29" i="2"/>
  <c r="N29" i="2"/>
  <c r="M29" i="2"/>
  <c r="I29" i="2"/>
  <c r="K29" i="2" s="1"/>
  <c r="H29" i="2"/>
  <c r="O28" i="2"/>
  <c r="N28" i="2"/>
  <c r="M28" i="2"/>
  <c r="I28" i="2"/>
  <c r="C28" i="11" s="1"/>
  <c r="H28" i="2"/>
  <c r="O27" i="2"/>
  <c r="N27" i="2"/>
  <c r="M27" i="2"/>
  <c r="I27" i="2"/>
  <c r="K27" i="2" s="1"/>
  <c r="H27" i="2"/>
  <c r="L27" i="2" s="1"/>
  <c r="O26" i="2"/>
  <c r="N26" i="2"/>
  <c r="M26" i="2"/>
  <c r="I26" i="2"/>
  <c r="C26" i="11" s="1"/>
  <c r="H26" i="2"/>
  <c r="L26" i="2" s="1"/>
  <c r="O25" i="2"/>
  <c r="N25" i="2"/>
  <c r="M25" i="2"/>
  <c r="I25" i="2"/>
  <c r="C25" i="11" s="1"/>
  <c r="H25" i="2"/>
  <c r="O24" i="2"/>
  <c r="N24" i="2"/>
  <c r="M24" i="2"/>
  <c r="I24" i="2"/>
  <c r="K24" i="2" s="1"/>
  <c r="H24" i="2"/>
  <c r="O23" i="2"/>
  <c r="N23" i="2"/>
  <c r="M23" i="2"/>
  <c r="I23" i="2"/>
  <c r="C23" i="11" s="1"/>
  <c r="H23" i="2"/>
  <c r="L23" i="2" s="1"/>
  <c r="O22" i="2"/>
  <c r="N22" i="2"/>
  <c r="M22" i="2"/>
  <c r="I22" i="2"/>
  <c r="K22" i="2" s="1"/>
  <c r="H22" i="2"/>
  <c r="L22" i="2" s="1"/>
  <c r="O21" i="2"/>
  <c r="N21" i="2"/>
  <c r="M21" i="2"/>
  <c r="I21" i="2"/>
  <c r="K21" i="2" s="1"/>
  <c r="H21" i="2"/>
  <c r="O20" i="2"/>
  <c r="N20" i="2"/>
  <c r="M20" i="2"/>
  <c r="I20" i="2"/>
  <c r="C20" i="11" s="1"/>
  <c r="H20" i="2"/>
  <c r="O19" i="2"/>
  <c r="N19" i="2"/>
  <c r="M19" i="2"/>
  <c r="I19" i="2"/>
  <c r="K19" i="2" s="1"/>
  <c r="H19" i="2"/>
  <c r="L19" i="2" s="1"/>
  <c r="O18" i="2"/>
  <c r="N18" i="2"/>
  <c r="M18" i="2"/>
  <c r="I18" i="2"/>
  <c r="C18" i="11" s="1"/>
  <c r="H18" i="2"/>
  <c r="L18" i="2" s="1"/>
  <c r="O17" i="2"/>
  <c r="N17" i="2"/>
  <c r="M17" i="2"/>
  <c r="I17" i="2"/>
  <c r="C17" i="11" s="1"/>
  <c r="H17" i="2"/>
  <c r="O16" i="2"/>
  <c r="N16" i="2"/>
  <c r="M16" i="2"/>
  <c r="I16" i="2"/>
  <c r="B12" i="5" s="1"/>
  <c r="H16" i="2"/>
  <c r="O15" i="2"/>
  <c r="N15" i="2"/>
  <c r="M15" i="2"/>
  <c r="I15" i="2"/>
  <c r="C15" i="11" s="1"/>
  <c r="H15" i="2"/>
  <c r="L15" i="2" s="1"/>
  <c r="O14" i="2"/>
  <c r="N14" i="2"/>
  <c r="M14" i="2"/>
  <c r="I14" i="2"/>
  <c r="K14" i="2" s="1"/>
  <c r="H14" i="2"/>
  <c r="L14" i="2" s="1"/>
  <c r="O13" i="2"/>
  <c r="N13" i="2"/>
  <c r="M13" i="2"/>
  <c r="I13" i="2"/>
  <c r="K13" i="2" s="1"/>
  <c r="H13" i="2"/>
  <c r="O12" i="2"/>
  <c r="N12" i="2"/>
  <c r="M12" i="2"/>
  <c r="I12" i="2"/>
  <c r="H12" i="6" s="1"/>
  <c r="H12" i="2"/>
  <c r="O11" i="2"/>
  <c r="N11" i="2"/>
  <c r="M11" i="2"/>
  <c r="I11" i="2"/>
  <c r="H11" i="6" s="1"/>
  <c r="H11" i="2"/>
  <c r="L11" i="2" s="1"/>
  <c r="O10" i="2"/>
  <c r="N10" i="2"/>
  <c r="M10" i="2"/>
  <c r="I10" i="2"/>
  <c r="C10" i="11" s="1"/>
  <c r="H10" i="2"/>
  <c r="L10" i="2" s="1"/>
  <c r="O9" i="2"/>
  <c r="N9" i="2"/>
  <c r="M9" i="2"/>
  <c r="I9" i="2"/>
  <c r="C9" i="11" s="1"/>
  <c r="H9" i="2"/>
  <c r="O8" i="2"/>
  <c r="N8" i="2"/>
  <c r="M8" i="2"/>
  <c r="I8" i="2"/>
  <c r="K8" i="2" s="1"/>
  <c r="H8" i="2"/>
  <c r="I6" i="4" s="1"/>
  <c r="O7" i="2"/>
  <c r="N7" i="2"/>
  <c r="M7" i="2"/>
  <c r="I7" i="2"/>
  <c r="C7" i="11" s="1"/>
  <c r="H7" i="2"/>
  <c r="I8" i="4" s="1"/>
  <c r="O6" i="2"/>
  <c r="N6" i="2"/>
  <c r="M6" i="2"/>
  <c r="I6" i="2"/>
  <c r="H6" i="2"/>
  <c r="I7" i="4" s="1"/>
  <c r="O5" i="2"/>
  <c r="N5" i="2"/>
  <c r="M5" i="2"/>
  <c r="I5" i="2"/>
  <c r="D6" i="9" s="1"/>
  <c r="H5" i="2"/>
  <c r="J7" i="4" l="1"/>
  <c r="L6" i="2"/>
  <c r="E10" i="6"/>
  <c r="D9" i="9"/>
  <c r="L5" i="2"/>
  <c r="L9" i="2"/>
  <c r="L13" i="2"/>
  <c r="L17" i="2"/>
  <c r="L21" i="2"/>
  <c r="L25" i="2"/>
  <c r="L29" i="2"/>
  <c r="L33" i="2"/>
  <c r="G5" i="6"/>
  <c r="G13" i="6"/>
  <c r="L8" i="2"/>
  <c r="L12" i="2"/>
  <c r="L16" i="2"/>
  <c r="B14" i="5" s="1"/>
  <c r="L20" i="2"/>
  <c r="L24" i="2"/>
  <c r="L28" i="2"/>
  <c r="L32" i="2"/>
  <c r="F9" i="6"/>
  <c r="E15" i="6"/>
  <c r="L7" i="2"/>
  <c r="G8" i="6"/>
  <c r="D11" i="6"/>
  <c r="G16" i="6"/>
  <c r="F11" i="6"/>
  <c r="H5" i="6"/>
  <c r="H13" i="6"/>
  <c r="D7" i="9"/>
  <c r="C5" i="11"/>
  <c r="C13" i="11"/>
  <c r="C21" i="11"/>
  <c r="C29" i="11"/>
  <c r="E8" i="4"/>
  <c r="E6" i="4"/>
  <c r="E7" i="4"/>
  <c r="H6" i="6"/>
  <c r="H14" i="6"/>
  <c r="D8" i="9"/>
  <c r="C8" i="11"/>
  <c r="C16" i="11"/>
  <c r="C24" i="11"/>
  <c r="C32" i="11"/>
  <c r="C11" i="11"/>
  <c r="C19" i="11"/>
  <c r="C27" i="11"/>
  <c r="H15" i="6"/>
  <c r="J5" i="2"/>
  <c r="J6" i="2"/>
  <c r="J7" i="2"/>
  <c r="L8" i="4" s="1"/>
  <c r="J8" i="2"/>
  <c r="J9" i="2"/>
  <c r="J10" i="2"/>
  <c r="J11" i="2"/>
  <c r="J12" i="2"/>
  <c r="J13" i="2"/>
  <c r="J14" i="2"/>
  <c r="J15" i="2"/>
  <c r="J16" i="2"/>
  <c r="B13" i="5" s="1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6" i="4"/>
  <c r="E9" i="4"/>
  <c r="E11" i="4"/>
  <c r="H8" i="6"/>
  <c r="F10" i="6"/>
  <c r="H16" i="6"/>
  <c r="C6" i="11"/>
  <c r="C14" i="11"/>
  <c r="C22" i="11"/>
  <c r="C30" i="11"/>
  <c r="K5" i="2"/>
  <c r="K6" i="2"/>
  <c r="K7" i="2"/>
  <c r="K9" i="2"/>
  <c r="K10" i="2"/>
  <c r="K11" i="2"/>
  <c r="K12" i="2"/>
  <c r="K15" i="2"/>
  <c r="K16" i="2"/>
  <c r="K17" i="2"/>
  <c r="K18" i="2"/>
  <c r="K20" i="2"/>
  <c r="K23" i="2"/>
  <c r="K25" i="2"/>
  <c r="K26" i="2"/>
  <c r="K28" i="2"/>
  <c r="K31" i="2"/>
  <c r="K33" i="2"/>
  <c r="K34" i="2"/>
  <c r="E5" i="4"/>
  <c r="D5" i="6"/>
  <c r="H9" i="6"/>
  <c r="D13" i="6"/>
  <c r="J8" i="4"/>
  <c r="D6" i="6"/>
  <c r="H10" i="6"/>
  <c r="F12" i="6"/>
  <c r="D14" i="6"/>
  <c r="C12" i="11"/>
  <c r="H7" i="6"/>
  <c r="D5" i="9"/>
  <c r="E10" i="4"/>
  <c r="E12" i="4"/>
  <c r="L7" i="4" l="1"/>
  <c r="B20" i="4"/>
  <c r="L6" i="4"/>
  <c r="B19" i="4"/>
  <c r="B21" i="4"/>
  <c r="B17" i="4"/>
  <c r="B18" i="4"/>
  <c r="F4" i="11"/>
  <c r="C18" i="4" l="1"/>
  <c r="C17" i="4"/>
  <c r="C21" i="4"/>
  <c r="C19" i="4"/>
  <c r="C20" i="4"/>
</calcChain>
</file>

<file path=xl/sharedStrings.xml><?xml version="1.0" encoding="utf-8"?>
<sst xmlns="http://schemas.openxmlformats.org/spreadsheetml/2006/main" count="622" uniqueCount="193">
  <si>
    <t>Ch09 資料分析實作 — 班級成績分析系統（教學範例）</t>
  </si>
  <si>
    <t>城市科技｜核心函數、條件判斷與查詢、樞紐分析表、圖表與預測</t>
  </si>
  <si>
    <t>【資料說明】30 位學生、3 科成績與出席天數都是虛構的教學資料，姓名不對應任何真實學生。</t>
  </si>
  <si>
    <t>【工作表對應課程章節】</t>
  </si>
  <si>
    <t>第一章 核心函數   → 「成績表」H~L 欄：SUM、AVERAGE、IFS、VLOOKUP、RANK（藍底都是公式）</t>
  </si>
  <si>
    <t xml:space="preserve">                   → 「統計摘要」：AVERAGE、MEDIAN、MAX、MIN、STDEV、COUNTIF、SUMIF、AVERAGEIF、COUNTIFS</t>
  </si>
  <si>
    <t>第二章 條件與查詢 → 「成績表」M~O 欄：IF、IF＋AND；成績欄已設定條件式格式（不及格紅、90 以上綠）</t>
  </si>
  <si>
    <t xml:space="preserve">                   → 「等第表」＋「查詢」：VLOOKUP 近似比對與完全比對、IFERROR</t>
  </si>
  <si>
    <t xml:space="preserve">                   → 「文字與日期」：LEFT、RIGHT、LEN、&amp;、TEXT、DATEDIF、TODAY</t>
  </si>
  <si>
    <t>第三章 樞紐分析表 → 「樞紐練習資料」：長格式資料（姓名／班級／科目／成績），用來插入樞紐分析表</t>
  </si>
  <si>
    <t xml:space="preserve">                   → 「樞紐參考答案」：用 AVERAGEIFS 算出同樣的結果，讓學生對照自己的樞紐表</t>
  </si>
  <si>
    <t>第四章 圖表與預測 → 「成績分布」：各科平均長條圖、成績分布直方圖</t>
  </si>
  <si>
    <t xml:space="preserve">                   → 「趨勢預測」：折線圖＋線性趨勢線（顯示 R²）、FORECAST.LINEAR</t>
  </si>
  <si>
    <t xml:space="preserve">                   → 「相關分析」：出席天數 vs 平均的散佈圖、CORREL（相關 ≠ 因果）</t>
  </si>
  <si>
    <t>【上課建議】先把「成績表」H~O 欄的公式刪掉，只留第一列示範，讓學生自己往下拉；再對照本檔答案。</t>
  </si>
  <si>
    <t>【版本提醒】IFS、FORECAST.LINEAR 需要 Excel 2019 以上或 Google 試算表；舊版 Excel 可改用巢狀 IF 與 FORECAST。</t>
  </si>
  <si>
    <t>【Google 試算表】檔案 → 匯入 → 上傳本檔即可；樞紐分析表請在 Google 試算表用「插入 → 資料透視表」重新建立。</t>
  </si>
  <si>
    <t>成績表</t>
  </si>
  <si>
    <t>白底是輸入資料，藍底是公式；成績欄有條件式格式</t>
  </si>
  <si>
    <t>學號</t>
  </si>
  <si>
    <t>姓名</t>
  </si>
  <si>
    <t>班級</t>
  </si>
  <si>
    <t>國語</t>
  </si>
  <si>
    <t>數學</t>
  </si>
  <si>
    <t>英文</t>
  </si>
  <si>
    <t>出席天數
(滿分30)</t>
  </si>
  <si>
    <t>總分
SUM</t>
  </si>
  <si>
    <t>平均
AVERAGE</t>
  </si>
  <si>
    <t>等第
IFS</t>
  </si>
  <si>
    <t>等第
VLOOKUP</t>
  </si>
  <si>
    <t>名次
RANK</t>
  </si>
  <si>
    <t>數學及格？
IF</t>
  </si>
  <si>
    <t>國英雙科
IF+AND</t>
  </si>
  <si>
    <t>出席
IF</t>
  </si>
  <si>
    <t>RANK 的範圍要加 $（絕對參照）才能往下複製：
=RANK(H5,$H$5:$H$34,0)
按 F4 可切換 $ 的位置。
J 欄與 K 欄結果應該一樣：
IFS 用條件判斷，VLOOKUP 查等第表，兩種方法都會。</t>
  </si>
  <si>
    <t>S115001</t>
  </si>
  <si>
    <t>王小明</t>
  </si>
  <si>
    <t>A班</t>
  </si>
  <si>
    <t>S115002</t>
  </si>
  <si>
    <t>林小華</t>
  </si>
  <si>
    <t>B班</t>
  </si>
  <si>
    <t>S115003</t>
  </si>
  <si>
    <t>陳美美</t>
  </si>
  <si>
    <t>C班</t>
  </si>
  <si>
    <t>S115004</t>
  </si>
  <si>
    <t>張大偉</t>
  </si>
  <si>
    <t>S115005</t>
  </si>
  <si>
    <t>李佳穎</t>
  </si>
  <si>
    <t>S115006</t>
  </si>
  <si>
    <t>黃志豪</t>
  </si>
  <si>
    <t>S115007</t>
  </si>
  <si>
    <t>吳雅婷</t>
  </si>
  <si>
    <t>S115008</t>
  </si>
  <si>
    <t>劉宇軒</t>
  </si>
  <si>
    <t>S115009</t>
  </si>
  <si>
    <t>蔡欣怡</t>
  </si>
  <si>
    <t>S115010</t>
  </si>
  <si>
    <t>楊冠廷</t>
  </si>
  <si>
    <t>S115011</t>
  </si>
  <si>
    <t>許詩涵</t>
  </si>
  <si>
    <t>S115012</t>
  </si>
  <si>
    <t>鄭承恩</t>
  </si>
  <si>
    <t>S115013</t>
  </si>
  <si>
    <t>謝宜蓁</t>
  </si>
  <si>
    <t>S115014</t>
  </si>
  <si>
    <t>郭柏翰</t>
  </si>
  <si>
    <t>S115015</t>
  </si>
  <si>
    <t>洪子晴</t>
  </si>
  <si>
    <t>S115016</t>
  </si>
  <si>
    <t>曾品睿</t>
  </si>
  <si>
    <t>S115017</t>
  </si>
  <si>
    <t>邱語恩</t>
  </si>
  <si>
    <t>S115018</t>
  </si>
  <si>
    <t>廖俊傑</t>
  </si>
  <si>
    <t>S115019</t>
  </si>
  <si>
    <t>賴芷瑄</t>
  </si>
  <si>
    <t>S115020</t>
  </si>
  <si>
    <t>周昱辰</t>
  </si>
  <si>
    <t>S115021</t>
  </si>
  <si>
    <t>徐沛涵</t>
  </si>
  <si>
    <t>S115022</t>
  </si>
  <si>
    <t>蘇睿哲</t>
  </si>
  <si>
    <t>S115023</t>
  </si>
  <si>
    <t>葉思妤</t>
  </si>
  <si>
    <t>S115024</t>
  </si>
  <si>
    <t>莊奕安</t>
  </si>
  <si>
    <t>S115025</t>
  </si>
  <si>
    <t>江采潔</t>
  </si>
  <si>
    <t>S115026</t>
  </si>
  <si>
    <t>呂宥廷</t>
  </si>
  <si>
    <t>S115027</t>
  </si>
  <si>
    <t>何芊芊</t>
  </si>
  <si>
    <t>S115028</t>
  </si>
  <si>
    <t>高翊翔</t>
  </si>
  <si>
    <t>S115029</t>
  </si>
  <si>
    <t>羅苡安</t>
  </si>
  <si>
    <t>S115030</t>
  </si>
  <si>
    <t>潘彥廷</t>
  </si>
  <si>
    <t>等第對照表（VLOOKUP 近似比對用）</t>
  </si>
  <si>
    <t>分數下限必須「由小到大」排列，最後一個引數填 TRUE（或 1）</t>
  </si>
  <si>
    <t>分數下限</t>
  </si>
  <si>
    <t>等第</t>
  </si>
  <si>
    <t>分數範圍</t>
  </si>
  <si>
    <t>說明</t>
  </si>
  <si>
    <t>F</t>
  </si>
  <si>
    <t>0–59</t>
  </si>
  <si>
    <t>不及格</t>
  </si>
  <si>
    <t>D</t>
  </si>
  <si>
    <t>60–69</t>
  </si>
  <si>
    <t>及格</t>
  </si>
  <si>
    <t>C</t>
  </si>
  <si>
    <t>70–79</t>
  </si>
  <si>
    <t>普通</t>
  </si>
  <si>
    <t>B</t>
  </si>
  <si>
    <t>80–89</t>
  </si>
  <si>
    <t>良好</t>
  </si>
  <si>
    <t>A</t>
  </si>
  <si>
    <t>90–100</t>
  </si>
  <si>
    <t>優秀</t>
  </si>
  <si>
    <t>例：平均 85 → VLOOKUP 往下找「不超過 85 的最大值」80 → 回傳 B。
若最後一個引數寫成 FALSE（完全比對），85 在表中找不到，就會出現 #N/A。</t>
  </si>
  <si>
    <t>統計摘要</t>
  </si>
  <si>
    <t>全部由公式計算，改「成績表」的分數，這裡會自動更新</t>
  </si>
  <si>
    <t>統計項目</t>
  </si>
  <si>
    <t>平均</t>
  </si>
  <si>
    <t>各班比較（COUNTIF／SUMIF／AVERAGEIF／COUNTIFS）</t>
  </si>
  <si>
    <t>人數
COUNTIF</t>
  </si>
  <si>
    <t>總分合計
SUMIF</t>
  </si>
  <si>
    <t>平均分
AVERAGEIF</t>
  </si>
  <si>
    <t>數學及格人數
COUNTIFS</t>
  </si>
  <si>
    <t>等第 A 人數
COUNTIFS</t>
  </si>
  <si>
    <t>中位數</t>
  </si>
  <si>
    <t>最高分</t>
  </si>
  <si>
    <t>最低分</t>
  </si>
  <si>
    <t>標準差</t>
  </si>
  <si>
    <t>及格人數</t>
  </si>
  <si>
    <t>不及格人數</t>
  </si>
  <si>
    <t>及格率</t>
  </si>
  <si>
    <t>各等第人數（COUNTIF）</t>
  </si>
  <si>
    <t>人數</t>
  </si>
  <si>
    <t>比例</t>
  </si>
  <si>
    <t>學號查詢（VLOOKUP 完全比對）</t>
  </si>
  <si>
    <t>在 B4 選或輸入學號，下方資料會自動查出來</t>
  </si>
  <si>
    <t>請輸入學號 →</t>
  </si>
  <si>
    <t>欄位</t>
  </si>
  <si>
    <t>查詢結果</t>
  </si>
  <si>
    <t>公式</t>
  </si>
  <si>
    <t>IFERROR(VLOOKUP($B$4,成績表!$A$5:$O$34,2,FALSE),"查無此學號")</t>
  </si>
  <si>
    <t>IFERROR(VLOOKUP($B$4,成績表!$A$5:$O$34,3,FALSE),"查無此學號")</t>
  </si>
  <si>
    <t>IFERROR(VLOOKUP($B$4,成績表!$A$5:$O$34,4,FALSE),"查無此學號")</t>
  </si>
  <si>
    <t>IFERROR(VLOOKUP($B$4,成績表!$A$5:$O$34,5,FALSE),"查無此學號")</t>
  </si>
  <si>
    <t>IFERROR(VLOOKUP($B$4,成績表!$A$5:$O$34,6,FALSE),"查無此學號")</t>
  </si>
  <si>
    <t>IFERROR(VLOOKUP($B$4,成績表!$A$5:$O$34,9,FALSE),"查無此學號")</t>
  </si>
  <si>
    <t>IFERROR(VLOOKUP($B$4,成績表!$A$5:$O$34,10,FALSE),"查無此學號")</t>
  </si>
  <si>
    <t>名次</t>
  </si>
  <si>
    <t>IFERROR(VLOOKUP($B$4,成績表!$A$5:$O$34,12,FALSE),"查無此學號")</t>
  </si>
  <si>
    <t>VLOOKUP(查詢值, 資料範圍, 欄號, FALSE)：學號要在資料範圍的「最左欄」。
FALSE＝完全比對，查不到會出現 #N/A，外面包 IFERROR 就能顯示「查無此學號」。
試試看：把 B4 改成 S115999。</t>
  </si>
  <si>
    <t>文字與日期函數</t>
  </si>
  <si>
    <t>生日為虛構資料；年齡用 TODAY() 計算，每天打開都會自動更新</t>
  </si>
  <si>
    <t>生日</t>
  </si>
  <si>
    <t>入學年
MID</t>
  </si>
  <si>
    <t>座號
RIGHT</t>
  </si>
  <si>
    <t>姓名字數
LEN</t>
  </si>
  <si>
    <t>稱呼
&amp;</t>
  </si>
  <si>
    <t>平均（百分比）
TEXT</t>
  </si>
  <si>
    <t>年齡
DATEDIF</t>
  </si>
  <si>
    <t>生日月份
MONTH</t>
  </si>
  <si>
    <t>樞紐分析表練習資料（長格式）</t>
  </si>
  <si>
    <t>一列一筆「某人某科的成績」：選取 A4:E94 → 插入 → 樞紐分析表</t>
  </si>
  <si>
    <t>科目</t>
  </si>
  <si>
    <t>成績</t>
  </si>
  <si>
    <t>練習 1：列＝班級、欄＝科目、值＝成績（平均值）→ 對照「樞紐參考答案」。
練習 2：列＝科目、值＝成績（計數、最大值、最小值）。
練習 3：篩選＝班級，只看 A 班。
練習 4：值的顯示方式改成「總計百分比」。
為什麼要長格式？成績表是「一人一列」，樞紐分析需要「科目」也成為一個欄位，才能拖到欄或列。</t>
  </si>
  <si>
    <t>樞紐參考答案：各班各科平均（AVERAGEIFS）</t>
  </si>
  <si>
    <t>你的樞紐分析表數字應該和這張表一樣</t>
  </si>
  <si>
    <t>總計</t>
  </si>
  <si>
    <t>成績分布與各科比較</t>
  </si>
  <si>
    <t>直方圖看「幾個人落在各分數段」；長條圖比較各科平均</t>
  </si>
  <si>
    <t>分數段</t>
  </si>
  <si>
    <t>下限</t>
  </si>
  <si>
    <t>上限</t>
  </si>
  <si>
    <t>人數
COUNTIFS</t>
  </si>
  <si>
    <t>⚠️ 成績比較不適合用圓餅圖（圓餅適合看比例），也不要用 3D 效果。</t>
  </si>
  <si>
    <t>趨勢線與預測：全班數學平均</t>
  </si>
  <si>
    <t>6 次考試的平均，預測第 7 次；折線圖已加上線性趨勢線與 R²</t>
  </si>
  <si>
    <t>考試次別</t>
  </si>
  <si>
    <t>全班數學平均</t>
  </si>
  <si>
    <t>← 第 7 次預測值 =FORECAST.LINEAR(7, 已知y, 已知x)</t>
  </si>
  <si>
    <t>相關係數</t>
  </si>
  <si>
    <t>R² 越接近 1，代表趨勢線越貼近資料（0.8 以上算不錯）。
趨勢線只是把過去的趨勢延伸，無法預測突發事件。</t>
  </si>
  <si>
    <t>散佈圖與相關係數：出席天數 vs 平均成績</t>
  </si>
  <si>
    <t>資料直接連到「成績表」</t>
  </si>
  <si>
    <t>出席天數</t>
  </si>
  <si>
    <t>相關係數 r</t>
  </si>
  <si>
    <t>r 接近 +1：正相關；接近 0：沒有相關；接近 −1：負相關。
⚠️ 相關 ≠ 因果：出席多和成績好有關，但可能兩者都受「學習態度」影響。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</si>
</sst>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.0"/>
    <numFmt numFmtId="177" formatCode="0.0%"/>
    <numFmt numFmtId="179" formatCode="yyyy/mm/dd"/>
  </numFmts>
  <fonts count="12">
    <font>
      <sz val="11"/>
      <color theme="1"/>
      <name val="新細明體"/>
      <family val="2"/>
      <scheme val="minor"/>
    </font>
    <font>
      <b/>
      <sz val="16"/>
      <color rgb="FF1E3A8A"/>
      <name val="Microsoft JhengHei"/>
      <family val="2"/>
      <charset val="136"/>
    </font>
    <font>
      <sz val="10"/>
      <color rgb="FF64748B"/>
      <name val="Microsoft JhengHei"/>
      <family val="2"/>
      <charset val="136"/>
    </font>
    <font>
      <b/>
      <sz val="11"/>
      <name val="Microsoft JhengHei"/>
      <family val="2"/>
      <charset val="136"/>
    </font>
    <font>
      <sz val="11"/>
      <name val="Microsoft JhengHei"/>
      <family val="2"/>
      <charset val="136"/>
    </font>
    <font>
      <b/>
      <sz val="11"/>
      <color rgb="FFFFFFFF"/>
      <name val="Microsoft JhengHei"/>
      <family val="2"/>
      <charset val="136"/>
    </font>
    <font>
      <sz val="10"/>
      <color rgb="FF78350F"/>
      <name val="Microsoft JhengHei"/>
      <family val="2"/>
      <charset val="136"/>
    </font>
    <font>
      <b/>
      <sz val="11"/>
      <color rgb="FF1E3A8A"/>
      <name val="Microsoft JhengHei"/>
      <family val="2"/>
      <charset val="136"/>
    </font>
    <font>
      <b/>
      <sz val="11"/>
      <name val="Microsoft JhengHei"/>
      <family val="2"/>
      <charset val="136"/>
    </font>
    <font>
      <b/>
      <sz val="13"/>
      <name val="Microsoft JhengHei"/>
      <family val="2"/>
      <charset val="136"/>
    </font>
    <font>
      <sz val="11"/>
      <color theme="1"/>
      <name val="Microsoft JhengHei"/>
      <family val="2"/>
      <charset val="136"/>
    </font>
    <font>
      <sz val="9"/>
      <name val="新細明體"/>
      <family val="3"/>
      <charset val="136"/>
      <scheme val="minor"/>
    </font>
  </fonts>
  <fills count="6">
    <fill>
      <patternFill patternType="none"/>
    </fill>
    <fill>
      <patternFill patternType="gray125"/>
    </fill>
    <fill>
      <patternFill patternType="solid">
        <fgColor rgb="FF1E3A8A"/>
      </patternFill>
    </fill>
    <fill>
      <patternFill patternType="solid">
        <fgColor rgb="FFE0F2FE"/>
      </patternFill>
    </fill>
    <fill>
      <patternFill patternType="solid">
        <fgColor rgb="FFFEF9C3"/>
      </patternFill>
    </fill>
    <fill>
      <patternFill patternType="solid">
        <fgColor rgb="FFFEF08A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/>
    <xf numFmtId="0" fontId="2" fillId="0" borderId="0" xfId="0" applyFont="1"/>
    <xf numFmtId="0" fontId="10" fillId="0" borderId="0" xfId="0" applyFont="1"/>
    <xf numFmtId="0" fontId="3" fillId="0" borderId="0" xfId="0" applyFont="1" applyAlignment="1"/>
    <xf numFmtId="0" fontId="4" fillId="0" borderId="0" xfId="0" applyFont="1" applyAlignment="1"/>
    <xf numFmtId="0" fontId="5" fillId="2" borderId="1" xfId="0" applyFont="1" applyFill="1" applyBorder="1" applyAlignment="1">
      <alignment horizontal="center" vertical="center" wrapText="1"/>
    </xf>
    <xf numFmtId="0" fontId="10" fillId="0" borderId="1" xfId="0" applyFont="1" applyBorder="1"/>
    <xf numFmtId="0" fontId="10" fillId="0" borderId="1" xfId="0" applyFont="1" applyBorder="1" applyAlignment="1">
      <alignment horizontal="center"/>
    </xf>
    <xf numFmtId="0" fontId="10" fillId="3" borderId="1" xfId="0" applyFont="1" applyFill="1" applyBorder="1" applyAlignment="1">
      <alignment horizontal="center"/>
    </xf>
    <xf numFmtId="0" fontId="7" fillId="0" borderId="0" xfId="0" applyFont="1"/>
    <xf numFmtId="176" fontId="10" fillId="3" borderId="1" xfId="0" applyNumberFormat="1" applyFont="1" applyFill="1" applyBorder="1"/>
    <xf numFmtId="0" fontId="10" fillId="3" borderId="1" xfId="0" applyFont="1" applyFill="1" applyBorder="1"/>
    <xf numFmtId="1" fontId="10" fillId="3" borderId="1" xfId="0" applyNumberFormat="1" applyFont="1" applyFill="1" applyBorder="1"/>
    <xf numFmtId="177" fontId="10" fillId="3" borderId="1" xfId="0" applyNumberFormat="1" applyFont="1" applyFill="1" applyBorder="1"/>
    <xf numFmtId="0" fontId="8" fillId="0" borderId="0" xfId="0" applyFont="1"/>
    <xf numFmtId="0" fontId="9" fillId="5" borderId="0" xfId="0" applyFont="1" applyFill="1"/>
    <xf numFmtId="179" fontId="10" fillId="0" borderId="1" xfId="0" applyNumberFormat="1" applyFont="1" applyBorder="1"/>
    <xf numFmtId="0" fontId="10" fillId="3" borderId="0" xfId="0" applyFont="1" applyFill="1"/>
    <xf numFmtId="0" fontId="6" fillId="4" borderId="0" xfId="0" applyFont="1" applyFill="1" applyAlignment="1">
      <alignment vertical="top" wrapText="1"/>
    </xf>
    <xf numFmtId="0" fontId="10" fillId="0" borderId="0" xfId="0" applyFont="1"/>
  </cellXfs>
  <cellStyles count="1">
    <cellStyle name="一般" xfId="0" builtinId="0"/>
  </cellStyles>
  <dxfs count="4">
    <dxf>
      <font>
        <b/>
        <color rgb="FFB91C1C"/>
      </font>
    </dxf>
    <dxf>
      <font>
        <b/>
        <color rgb="FFB91C1C"/>
      </font>
    </dxf>
    <dxf>
      <fill>
        <patternFill patternType="solid">
          <fgColor rgb="FFBBF7D0"/>
        </patternFill>
      </fill>
    </dxf>
    <dxf>
      <fill>
        <patternFill patternType="solid">
          <fgColor rgb="FFFCA5A5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1"/>
  <c:style val="2"/>
  <c:chart>
    <c:title>
      <c:tx>
        <c:rich>
          <a:bodyPr/>
          <a:lstStyle/>
          <a:p>
            <a:pPr>
              <a:defRPr/>
            </a:pPr>
            <a:r>
              <a:t>全班平均分數分布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成績分布!$D$4</c:f>
              <c:strCache>
                <c:ptCount val="1"/>
                <c:pt idx="0">
                  <c:v>人數
COUNTIFS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成績分布!$A$5:$A$9</c:f>
              <c:strCache>
                <c:ptCount val="5"/>
                <c:pt idx="0">
                  <c:v>0–59</c:v>
                </c:pt>
                <c:pt idx="1">
                  <c:v>60–69</c:v>
                </c:pt>
                <c:pt idx="2">
                  <c:v>70–79</c:v>
                </c:pt>
                <c:pt idx="3">
                  <c:v>80–89</c:v>
                </c:pt>
                <c:pt idx="4">
                  <c:v>90–100</c:v>
                </c:pt>
              </c:strCache>
            </c:strRef>
          </c:cat>
          <c:val>
            <c:numRef>
              <c:f>成績分布!$D$5:$D$9</c:f>
              <c:numCache>
                <c:formatCode>General</c:formatCode>
                <c:ptCount val="5"/>
                <c:pt idx="0">
                  <c:v>4</c:v>
                </c:pt>
                <c:pt idx="1">
                  <c:v>6</c:v>
                </c:pt>
                <c:pt idx="2">
                  <c:v>10</c:v>
                </c:pt>
                <c:pt idx="3">
                  <c:v>7</c:v>
                </c:pt>
                <c:pt idx="4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01A-4621-9015-E3AE6CB5CF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"/>
        <c:axId val="10"/>
        <c:axId val="100"/>
      </c:bar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分數段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人數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1"/>
  <c:style val="2"/>
  <c:chart>
    <c:title>
      <c:tx>
        <c:rich>
          <a:bodyPr/>
          <a:lstStyle/>
          <a:p>
            <a:pPr>
              <a:defRPr/>
            </a:pPr>
            <a:r>
              <a:t>各科平均、最高、最低分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統計摘要!$A$5</c:f>
              <c:strCache>
                <c:ptCount val="1"/>
                <c:pt idx="0">
                  <c:v>平均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統計摘要!$B$4:$D$4</c:f>
              <c:strCache>
                <c:ptCount val="3"/>
                <c:pt idx="0">
                  <c:v>國語</c:v>
                </c:pt>
                <c:pt idx="1">
                  <c:v>數學</c:v>
                </c:pt>
                <c:pt idx="2">
                  <c:v>英文</c:v>
                </c:pt>
              </c:strCache>
            </c:strRef>
          </c:cat>
          <c:val>
            <c:numRef>
              <c:f>統計摘要!$B$5:$D$5</c:f>
              <c:numCache>
                <c:formatCode>0.0</c:formatCode>
                <c:ptCount val="3"/>
                <c:pt idx="0">
                  <c:v>73.8</c:v>
                </c:pt>
                <c:pt idx="1">
                  <c:v>70</c:v>
                </c:pt>
                <c:pt idx="2">
                  <c:v>74.900000000000006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0DE-4211-A01E-0CDF0D38FE43}"/>
            </c:ext>
          </c:extLst>
        </c:ser>
        <c:ser>
          <c:idx val="1"/>
          <c:order val="1"/>
          <c:tx>
            <c:strRef>
              <c:f>統計摘要!$A$7</c:f>
              <c:strCache>
                <c:ptCount val="1"/>
                <c:pt idx="0">
                  <c:v>最高分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統計摘要!$B$4:$D$4</c:f>
              <c:strCache>
                <c:ptCount val="3"/>
                <c:pt idx="0">
                  <c:v>國語</c:v>
                </c:pt>
                <c:pt idx="1">
                  <c:v>數學</c:v>
                </c:pt>
                <c:pt idx="2">
                  <c:v>英文</c:v>
                </c:pt>
              </c:strCache>
            </c:strRef>
          </c:cat>
          <c:val>
            <c:numRef>
              <c:f>統計摘要!$B$7:$D$7</c:f>
              <c:numCache>
                <c:formatCode>0</c:formatCode>
                <c:ptCount val="3"/>
                <c:pt idx="0">
                  <c:v>100</c:v>
                </c:pt>
                <c:pt idx="1">
                  <c:v>87</c:v>
                </c:pt>
                <c:pt idx="2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0DE-4211-A01E-0CDF0D38FE43}"/>
            </c:ext>
          </c:extLst>
        </c:ser>
        <c:ser>
          <c:idx val="2"/>
          <c:order val="2"/>
          <c:tx>
            <c:strRef>
              <c:f>統計摘要!$A$8</c:f>
              <c:strCache>
                <c:ptCount val="1"/>
                <c:pt idx="0">
                  <c:v>最低分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統計摘要!$B$4:$D$4</c:f>
              <c:strCache>
                <c:ptCount val="3"/>
                <c:pt idx="0">
                  <c:v>國語</c:v>
                </c:pt>
                <c:pt idx="1">
                  <c:v>數學</c:v>
                </c:pt>
                <c:pt idx="2">
                  <c:v>英文</c:v>
                </c:pt>
              </c:strCache>
            </c:strRef>
          </c:cat>
          <c:val>
            <c:numRef>
              <c:f>統計摘要!$B$8:$D$8</c:f>
              <c:numCache>
                <c:formatCode>0</c:formatCode>
                <c:ptCount val="3"/>
                <c:pt idx="0">
                  <c:v>45</c:v>
                </c:pt>
                <c:pt idx="1">
                  <c:v>44</c:v>
                </c:pt>
                <c:pt idx="2">
                  <c:v>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0DE-4211-A01E-0CDF0D38FE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  <c:max val="100"/>
          <c:min val="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分數</a:t>
                </a:r>
              </a:p>
            </c:rich>
          </c:tx>
          <c:overlay val="1"/>
        </c:title>
        <c:numFmt formatCode="0.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1"/>
  <c:style val="13"/>
  <c:chart>
    <c:title>
      <c:tx>
        <c:rich>
          <a:bodyPr/>
          <a:lstStyle/>
          <a:p>
            <a:pPr>
              <a:defRPr/>
            </a:pPr>
            <a:r>
              <a:t>全班數學平均趨勢</a:t>
            </a:r>
          </a:p>
        </c:rich>
      </c:tx>
      <c:overlay val="1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數學平均</c:v>
          </c:tx>
          <c:spPr>
            <a:ln>
              <a:prstDash val="solid"/>
            </a:ln>
          </c:spPr>
          <c:marker>
            <c:symbol val="circle"/>
            <c:size val="5"/>
            <c:spPr>
              <a:ln>
                <a:prstDash val="solid"/>
              </a:ln>
            </c:spPr>
          </c:marker>
          <c:trendline>
            <c:trendlineType val="linear"/>
            <c:forward val="1"/>
            <c:dispRSqr val="1"/>
            <c:dispEq val="1"/>
            <c:trendlineLbl>
              <c:numFmt formatCode="General" sourceLinked="0"/>
            </c:trendlineLbl>
          </c:trendline>
          <c:xVal>
            <c:numRef>
              <c:f>趨勢預測!$A$5:$A$10</c:f>
              <c:numCache>
                <c:formatCode>General</c:formatCode>
                <c:ptCount val="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</c:numCache>
            </c:numRef>
          </c:xVal>
          <c:yVal>
            <c:numRef>
              <c:f>趨勢預測!$B$5:$B$10</c:f>
              <c:numCache>
                <c:formatCode>General</c:formatCode>
                <c:ptCount val="6"/>
                <c:pt idx="0">
                  <c:v>66.8</c:v>
                </c:pt>
                <c:pt idx="1">
                  <c:v>68.900000000000006</c:v>
                </c:pt>
                <c:pt idx="2">
                  <c:v>69.5</c:v>
                </c:pt>
                <c:pt idx="3">
                  <c:v>71.8</c:v>
                </c:pt>
                <c:pt idx="4">
                  <c:v>71.2</c:v>
                </c:pt>
                <c:pt idx="5">
                  <c:v>73.599999999999994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F9B-4DF5-8111-C6D0470F4C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orientation val="minMax"/>
          <c:max val="8"/>
          <c:min val="0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考試次別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20"/>
        <c:crosses val="autoZero"/>
        <c:crossBetween val="midCat"/>
      </c:valAx>
      <c:valAx>
        <c:axId val="20"/>
        <c:scaling>
          <c:orientation val="minMax"/>
          <c:min val="6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平均分數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midCat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1"/>
  <c:style val="13"/>
  <c:chart>
    <c:title>
      <c:tx>
        <c:rich>
          <a:bodyPr/>
          <a:lstStyle/>
          <a:p>
            <a:pPr>
              <a:defRPr/>
            </a:pPr>
            <a:r>
              <a:t>出席天數 vs 平均成績</a:t>
            </a:r>
          </a:p>
        </c:rich>
      </c:tx>
      <c:overlay val="1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學生</c:v>
          </c:tx>
          <c:spPr>
            <a:ln>
              <a:noFill/>
              <a:prstDash val="solid"/>
            </a:ln>
          </c:spPr>
          <c:marker>
            <c:symbol val="circle"/>
            <c:size val="5"/>
            <c:spPr>
              <a:ln>
                <a:prstDash val="solid"/>
              </a:ln>
            </c:spPr>
          </c:marker>
          <c:trendline>
            <c:trendlineType val="linear"/>
            <c:dispRSqr val="1"/>
            <c:dispEq val="1"/>
            <c:trendlineLbl>
              <c:numFmt formatCode="General" sourceLinked="0"/>
            </c:trendlineLbl>
          </c:trendline>
          <c:xVal>
            <c:numRef>
              <c:f>相關分析!$B$5:$B$34</c:f>
              <c:numCache>
                <c:formatCode>General</c:formatCode>
                <c:ptCount val="30"/>
                <c:pt idx="0">
                  <c:v>29</c:v>
                </c:pt>
                <c:pt idx="1">
                  <c:v>26</c:v>
                </c:pt>
                <c:pt idx="2">
                  <c:v>24</c:v>
                </c:pt>
                <c:pt idx="3">
                  <c:v>30</c:v>
                </c:pt>
                <c:pt idx="4">
                  <c:v>30</c:v>
                </c:pt>
                <c:pt idx="5">
                  <c:v>26</c:v>
                </c:pt>
                <c:pt idx="6">
                  <c:v>26</c:v>
                </c:pt>
                <c:pt idx="7">
                  <c:v>27</c:v>
                </c:pt>
                <c:pt idx="8">
                  <c:v>23</c:v>
                </c:pt>
                <c:pt idx="9">
                  <c:v>21</c:v>
                </c:pt>
                <c:pt idx="10">
                  <c:v>27</c:v>
                </c:pt>
                <c:pt idx="11">
                  <c:v>25</c:v>
                </c:pt>
                <c:pt idx="12">
                  <c:v>23</c:v>
                </c:pt>
                <c:pt idx="13">
                  <c:v>25</c:v>
                </c:pt>
                <c:pt idx="14">
                  <c:v>22</c:v>
                </c:pt>
                <c:pt idx="15">
                  <c:v>30</c:v>
                </c:pt>
                <c:pt idx="16">
                  <c:v>27</c:v>
                </c:pt>
                <c:pt idx="17">
                  <c:v>23</c:v>
                </c:pt>
                <c:pt idx="18">
                  <c:v>24</c:v>
                </c:pt>
                <c:pt idx="19">
                  <c:v>26</c:v>
                </c:pt>
                <c:pt idx="20">
                  <c:v>26</c:v>
                </c:pt>
                <c:pt idx="21">
                  <c:v>22</c:v>
                </c:pt>
                <c:pt idx="22">
                  <c:v>27</c:v>
                </c:pt>
                <c:pt idx="23">
                  <c:v>23</c:v>
                </c:pt>
                <c:pt idx="24">
                  <c:v>21</c:v>
                </c:pt>
                <c:pt idx="25">
                  <c:v>27</c:v>
                </c:pt>
                <c:pt idx="26">
                  <c:v>30</c:v>
                </c:pt>
                <c:pt idx="27">
                  <c:v>26</c:v>
                </c:pt>
                <c:pt idx="28">
                  <c:v>29</c:v>
                </c:pt>
                <c:pt idx="29">
                  <c:v>22</c:v>
                </c:pt>
              </c:numCache>
            </c:numRef>
          </c:xVal>
          <c:yVal>
            <c:numRef>
              <c:f>相關分析!$C$5:$C$34</c:f>
              <c:numCache>
                <c:formatCode>General</c:formatCode>
                <c:ptCount val="30"/>
                <c:pt idx="0">
                  <c:v>80.7</c:v>
                </c:pt>
                <c:pt idx="1">
                  <c:v>70.3</c:v>
                </c:pt>
                <c:pt idx="2">
                  <c:v>83.3</c:v>
                </c:pt>
                <c:pt idx="3">
                  <c:v>87</c:v>
                </c:pt>
                <c:pt idx="4">
                  <c:v>95.7</c:v>
                </c:pt>
                <c:pt idx="5">
                  <c:v>70.3</c:v>
                </c:pt>
                <c:pt idx="6">
                  <c:v>86.3</c:v>
                </c:pt>
                <c:pt idx="7">
                  <c:v>59.3</c:v>
                </c:pt>
                <c:pt idx="8">
                  <c:v>52</c:v>
                </c:pt>
                <c:pt idx="9">
                  <c:v>60.7</c:v>
                </c:pt>
                <c:pt idx="10">
                  <c:v>82.3</c:v>
                </c:pt>
                <c:pt idx="11">
                  <c:v>72</c:v>
                </c:pt>
                <c:pt idx="12">
                  <c:v>63.7</c:v>
                </c:pt>
                <c:pt idx="13">
                  <c:v>90.7</c:v>
                </c:pt>
                <c:pt idx="14">
                  <c:v>48.3</c:v>
                </c:pt>
                <c:pt idx="15">
                  <c:v>68.7</c:v>
                </c:pt>
                <c:pt idx="16">
                  <c:v>82</c:v>
                </c:pt>
                <c:pt idx="17">
                  <c:v>57</c:v>
                </c:pt>
                <c:pt idx="18">
                  <c:v>60.3</c:v>
                </c:pt>
                <c:pt idx="19">
                  <c:v>71.3</c:v>
                </c:pt>
                <c:pt idx="20">
                  <c:v>70.3</c:v>
                </c:pt>
                <c:pt idx="21">
                  <c:v>75.7</c:v>
                </c:pt>
                <c:pt idx="22">
                  <c:v>74.7</c:v>
                </c:pt>
                <c:pt idx="23">
                  <c:v>60.7</c:v>
                </c:pt>
                <c:pt idx="24">
                  <c:v>63</c:v>
                </c:pt>
                <c:pt idx="25">
                  <c:v>77.3</c:v>
                </c:pt>
                <c:pt idx="26">
                  <c:v>90.7</c:v>
                </c:pt>
                <c:pt idx="27">
                  <c:v>75.7</c:v>
                </c:pt>
                <c:pt idx="28">
                  <c:v>86.7</c:v>
                </c:pt>
                <c:pt idx="29">
                  <c:v>70.3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453-4FB7-A70C-87A339A9D7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orientation val="minMax"/>
          <c:max val="30"/>
          <c:min val="18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出席天數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20"/>
        <c:crosses val="autoZero"/>
        <c:crossBetween val="midCat"/>
      </c:valAx>
      <c:valAx>
        <c:axId val="2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平均成績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midCat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0</xdr:colOff>
      <xdr:row>3</xdr:row>
      <xdr:rowOff>0</xdr:rowOff>
    </xdr:from>
    <xdr:ext cx="4320000" cy="27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5</xdr:col>
      <xdr:colOff>0</xdr:colOff>
      <xdr:row>19</xdr:row>
      <xdr:rowOff>0</xdr:rowOff>
    </xdr:from>
    <xdr:ext cx="4320000" cy="270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0</xdr:colOff>
      <xdr:row>3</xdr:row>
      <xdr:rowOff>0</xdr:rowOff>
    </xdr:from>
    <xdr:ext cx="5040000" cy="288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0</xdr:colOff>
      <xdr:row>5</xdr:row>
      <xdr:rowOff>0</xdr:rowOff>
    </xdr:from>
    <xdr:ext cx="5040000" cy="288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0"/>
  <sheetViews>
    <sheetView tabSelected="1" workbookViewId="0"/>
  </sheetViews>
  <sheetFormatPr defaultRowHeight="14.5"/>
  <cols>
    <col min="1" max="1" width="105" customWidth="1"/>
  </cols>
  <sheetData>
    <row r="1" spans="1:1" ht="20.5">
      <c r="A1" s="1" t="s">
        <v>0</v>
      </c>
    </row>
    <row r="2" spans="1:1">
      <c r="A2" s="2" t="s">
        <v>1</v>
      </c>
    </row>
    <row r="3" spans="1:1" ht="15">
      <c r="A3" s="3"/>
    </row>
    <row r="4" spans="1:1" ht="15">
      <c r="A4" s="4" t="s">
        <v>2</v>
      </c>
    </row>
    <row r="5" spans="1:1" ht="15">
      <c r="A5" s="5"/>
    </row>
    <row r="6" spans="1:1" ht="15">
      <c r="A6" s="4" t="s">
        <v>3</v>
      </c>
    </row>
    <row r="7" spans="1:1" ht="15">
      <c r="A7" s="5" t="s">
        <v>4</v>
      </c>
    </row>
    <row r="8" spans="1:1" ht="15">
      <c r="A8" s="5" t="s">
        <v>5</v>
      </c>
    </row>
    <row r="9" spans="1:1" ht="15">
      <c r="A9" s="5" t="s">
        <v>6</v>
      </c>
    </row>
    <row r="10" spans="1:1" ht="15">
      <c r="A10" s="5" t="s">
        <v>7</v>
      </c>
    </row>
    <row r="11" spans="1:1" ht="15">
      <c r="A11" s="5" t="s">
        <v>8</v>
      </c>
    </row>
    <row r="12" spans="1:1" ht="15">
      <c r="A12" s="5" t="s">
        <v>9</v>
      </c>
    </row>
    <row r="13" spans="1:1" ht="15">
      <c r="A13" s="5" t="s">
        <v>10</v>
      </c>
    </row>
    <row r="14" spans="1:1" ht="15">
      <c r="A14" s="5" t="s">
        <v>11</v>
      </c>
    </row>
    <row r="15" spans="1:1" ht="15">
      <c r="A15" s="5" t="s">
        <v>12</v>
      </c>
    </row>
    <row r="16" spans="1:1" ht="15">
      <c r="A16" s="5" t="s">
        <v>13</v>
      </c>
    </row>
    <row r="17" spans="1:1" ht="15">
      <c r="A17" s="5"/>
    </row>
    <row r="18" spans="1:1" ht="15">
      <c r="A18" s="4" t="s">
        <v>14</v>
      </c>
    </row>
    <row r="19" spans="1:1" ht="15">
      <c r="A19" s="4" t="s">
        <v>15</v>
      </c>
    </row>
    <row r="20" spans="1:1" ht="15">
      <c r="A20" s="4" t="s">
        <v>16</v>
      </c>
    </row>
  </sheetData>
  <phoneticPr fontId="11" type="noConversion"/>
  <pageMargins left="0.75" right="0.75" top="1" bottom="1" header="0.5" footer="0.5"/>
  <pageSetup paperSize="9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34"/>
  <sheetViews>
    <sheetView workbookViewId="0">
      <pane xSplit="2" ySplit="4" topLeftCell="C5" activePane="bottomRight" state="frozen"/>
      <selection pane="topRight"/>
      <selection pane="bottomLeft"/>
      <selection pane="bottomRight"/>
    </sheetView>
  </sheetViews>
  <sheetFormatPr defaultRowHeight="14.5"/>
  <cols>
    <col min="1" max="1" width="10" customWidth="1"/>
    <col min="2" max="2" width="9" customWidth="1"/>
    <col min="3" max="3" width="6" customWidth="1"/>
    <col min="4" max="6" width="7" customWidth="1"/>
    <col min="7" max="7" width="10" customWidth="1"/>
    <col min="8" max="8" width="8" customWidth="1"/>
    <col min="9" max="9" width="9" customWidth="1"/>
    <col min="10" max="10" width="7" customWidth="1"/>
    <col min="11" max="11" width="9" customWidth="1"/>
    <col min="12" max="12" width="7" customWidth="1"/>
    <col min="13" max="14" width="11" customWidth="1"/>
    <col min="15" max="15" width="8" customWidth="1"/>
  </cols>
  <sheetData>
    <row r="1" spans="1:21" ht="20.5">
      <c r="A1" s="1" t="s">
        <v>17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</row>
    <row r="2" spans="1:21" ht="15">
      <c r="A2" s="2" t="s">
        <v>18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</row>
    <row r="3" spans="1:21" ht="15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</row>
    <row r="4" spans="1:21" ht="34" customHeight="1">
      <c r="A4" s="6" t="s">
        <v>19</v>
      </c>
      <c r="B4" s="6" t="s">
        <v>20</v>
      </c>
      <c r="C4" s="6" t="s">
        <v>21</v>
      </c>
      <c r="D4" s="6" t="s">
        <v>22</v>
      </c>
      <c r="E4" s="6" t="s">
        <v>23</v>
      </c>
      <c r="F4" s="6" t="s">
        <v>24</v>
      </c>
      <c r="G4" s="6" t="s">
        <v>25</v>
      </c>
      <c r="H4" s="6" t="s">
        <v>26</v>
      </c>
      <c r="I4" s="6" t="s">
        <v>27</v>
      </c>
      <c r="J4" s="6" t="s">
        <v>28</v>
      </c>
      <c r="K4" s="6" t="s">
        <v>29</v>
      </c>
      <c r="L4" s="6" t="s">
        <v>30</v>
      </c>
      <c r="M4" s="6" t="s">
        <v>31</v>
      </c>
      <c r="N4" s="6" t="s">
        <v>32</v>
      </c>
      <c r="O4" s="6" t="s">
        <v>33</v>
      </c>
      <c r="P4" s="3"/>
      <c r="Q4" s="19" t="s">
        <v>34</v>
      </c>
      <c r="R4" s="20"/>
      <c r="S4" s="20"/>
      <c r="T4" s="20"/>
      <c r="U4" s="20"/>
    </row>
    <row r="5" spans="1:21" ht="15">
      <c r="A5" s="7" t="s">
        <v>35</v>
      </c>
      <c r="B5" s="7" t="s">
        <v>36</v>
      </c>
      <c r="C5" s="8" t="s">
        <v>37</v>
      </c>
      <c r="D5" s="8">
        <v>70</v>
      </c>
      <c r="E5" s="8">
        <v>81</v>
      </c>
      <c r="F5" s="8">
        <v>91</v>
      </c>
      <c r="G5" s="8">
        <v>29</v>
      </c>
      <c r="H5" s="9">
        <f t="shared" ref="H5:H34" si="0">SUM(D5:F5)</f>
        <v>242</v>
      </c>
      <c r="I5" s="9">
        <f t="shared" ref="I5:I34" si="1">ROUND(AVERAGE(D5:F5),1)</f>
        <v>80.7</v>
      </c>
      <c r="J5" s="9" t="str">
        <f t="shared" ref="J5:J34" si="2">_xlfn.IFS(I5&gt;=90,"A",I5&gt;=80,"B",I5&gt;=70,"C",I5&gt;=60,"D",TRUE,"F")</f>
        <v>B</v>
      </c>
      <c r="K5" s="9" t="str">
        <f>VLOOKUP(I5,等第表!$A$5:$B$9,2,TRUE)</f>
        <v>B</v>
      </c>
      <c r="L5" s="9">
        <f t="shared" ref="L5:L34" si="3">RANK(H5,$H$5:$H$34,0)</f>
        <v>10</v>
      </c>
      <c r="M5" s="9" t="str">
        <f t="shared" ref="M5:M34" si="4">IF(E5&gt;=60,"及格","不及格")</f>
        <v>及格</v>
      </c>
      <c r="N5" s="9" t="str">
        <f t="shared" ref="N5:N34" si="5">IF(AND(D5&gt;=60,F5&gt;=60),"雙科及格","待補考")</f>
        <v>雙科及格</v>
      </c>
      <c r="O5" s="9" t="str">
        <f t="shared" ref="O5:O34" si="6">IF(G5&gt;=27,"優良","一般")</f>
        <v>優良</v>
      </c>
      <c r="P5" s="3"/>
      <c r="Q5" s="20"/>
      <c r="R5" s="20"/>
      <c r="S5" s="20"/>
      <c r="T5" s="20"/>
      <c r="U5" s="20"/>
    </row>
    <row r="6" spans="1:21" ht="15">
      <c r="A6" s="7" t="s">
        <v>38</v>
      </c>
      <c r="B6" s="7" t="s">
        <v>39</v>
      </c>
      <c r="C6" s="8" t="s">
        <v>40</v>
      </c>
      <c r="D6" s="8">
        <v>76</v>
      </c>
      <c r="E6" s="8">
        <v>62</v>
      </c>
      <c r="F6" s="8">
        <v>73</v>
      </c>
      <c r="G6" s="8">
        <v>26</v>
      </c>
      <c r="H6" s="9">
        <f t="shared" si="0"/>
        <v>211</v>
      </c>
      <c r="I6" s="9">
        <f t="shared" si="1"/>
        <v>70.3</v>
      </c>
      <c r="J6" s="9" t="str">
        <f t="shared" si="2"/>
        <v>C</v>
      </c>
      <c r="K6" s="9" t="str">
        <f>VLOOKUP(I6,等第表!$A$5:$B$9,2,TRUE)</f>
        <v>C</v>
      </c>
      <c r="L6" s="9">
        <f t="shared" si="3"/>
        <v>17</v>
      </c>
      <c r="M6" s="9" t="str">
        <f t="shared" si="4"/>
        <v>及格</v>
      </c>
      <c r="N6" s="9" t="str">
        <f t="shared" si="5"/>
        <v>雙科及格</v>
      </c>
      <c r="O6" s="9" t="str">
        <f t="shared" si="6"/>
        <v>一般</v>
      </c>
      <c r="P6" s="3"/>
      <c r="Q6" s="20"/>
      <c r="R6" s="20"/>
      <c r="S6" s="20"/>
      <c r="T6" s="20"/>
      <c r="U6" s="20"/>
    </row>
    <row r="7" spans="1:21" ht="15">
      <c r="A7" s="7" t="s">
        <v>41</v>
      </c>
      <c r="B7" s="7" t="s">
        <v>42</v>
      </c>
      <c r="C7" s="8" t="s">
        <v>43</v>
      </c>
      <c r="D7" s="8">
        <v>78</v>
      </c>
      <c r="E7" s="8">
        <v>84</v>
      </c>
      <c r="F7" s="8">
        <v>88</v>
      </c>
      <c r="G7" s="8">
        <v>24</v>
      </c>
      <c r="H7" s="9">
        <f t="shared" si="0"/>
        <v>250</v>
      </c>
      <c r="I7" s="9">
        <f t="shared" si="1"/>
        <v>83.3</v>
      </c>
      <c r="J7" s="9" t="str">
        <f t="shared" si="2"/>
        <v>B</v>
      </c>
      <c r="K7" s="9" t="str">
        <f>VLOOKUP(I7,等第表!$A$5:$B$9,2,TRUE)</f>
        <v>B</v>
      </c>
      <c r="L7" s="9">
        <f t="shared" si="3"/>
        <v>7</v>
      </c>
      <c r="M7" s="9" t="str">
        <f t="shared" si="4"/>
        <v>及格</v>
      </c>
      <c r="N7" s="9" t="str">
        <f t="shared" si="5"/>
        <v>雙科及格</v>
      </c>
      <c r="O7" s="9" t="str">
        <f t="shared" si="6"/>
        <v>一般</v>
      </c>
      <c r="P7" s="3"/>
      <c r="Q7" s="20"/>
      <c r="R7" s="20"/>
      <c r="S7" s="20"/>
      <c r="T7" s="20"/>
      <c r="U7" s="20"/>
    </row>
    <row r="8" spans="1:21" ht="15">
      <c r="A8" s="7" t="s">
        <v>44</v>
      </c>
      <c r="B8" s="7" t="s">
        <v>45</v>
      </c>
      <c r="C8" s="8" t="s">
        <v>37</v>
      </c>
      <c r="D8" s="8">
        <v>93</v>
      </c>
      <c r="E8" s="8">
        <v>78</v>
      </c>
      <c r="F8" s="8">
        <v>90</v>
      </c>
      <c r="G8" s="8">
        <v>30</v>
      </c>
      <c r="H8" s="9">
        <f t="shared" si="0"/>
        <v>261</v>
      </c>
      <c r="I8" s="9">
        <f t="shared" si="1"/>
        <v>87</v>
      </c>
      <c r="J8" s="9" t="str">
        <f t="shared" si="2"/>
        <v>B</v>
      </c>
      <c r="K8" s="9" t="str">
        <f>VLOOKUP(I8,等第表!$A$5:$B$9,2,TRUE)</f>
        <v>B</v>
      </c>
      <c r="L8" s="9">
        <f t="shared" si="3"/>
        <v>4</v>
      </c>
      <c r="M8" s="9" t="str">
        <f t="shared" si="4"/>
        <v>及格</v>
      </c>
      <c r="N8" s="9" t="str">
        <f t="shared" si="5"/>
        <v>雙科及格</v>
      </c>
      <c r="O8" s="9" t="str">
        <f t="shared" si="6"/>
        <v>優良</v>
      </c>
      <c r="P8" s="3"/>
      <c r="Q8" s="20"/>
      <c r="R8" s="20"/>
      <c r="S8" s="20"/>
      <c r="T8" s="20"/>
      <c r="U8" s="20"/>
    </row>
    <row r="9" spans="1:21" ht="15">
      <c r="A9" s="7" t="s">
        <v>46</v>
      </c>
      <c r="B9" s="7" t="s">
        <v>47</v>
      </c>
      <c r="C9" s="8" t="s">
        <v>40</v>
      </c>
      <c r="D9" s="8">
        <v>100</v>
      </c>
      <c r="E9" s="8">
        <v>87</v>
      </c>
      <c r="F9" s="8">
        <v>100</v>
      </c>
      <c r="G9" s="8">
        <v>30</v>
      </c>
      <c r="H9" s="9">
        <f t="shared" si="0"/>
        <v>287</v>
      </c>
      <c r="I9" s="9">
        <f t="shared" si="1"/>
        <v>95.7</v>
      </c>
      <c r="J9" s="9" t="str">
        <f t="shared" si="2"/>
        <v>A</v>
      </c>
      <c r="K9" s="9" t="str">
        <f>VLOOKUP(I9,等第表!$A$5:$B$9,2,TRUE)</f>
        <v>A</v>
      </c>
      <c r="L9" s="9">
        <f t="shared" si="3"/>
        <v>1</v>
      </c>
      <c r="M9" s="9" t="str">
        <f t="shared" si="4"/>
        <v>及格</v>
      </c>
      <c r="N9" s="9" t="str">
        <f t="shared" si="5"/>
        <v>雙科及格</v>
      </c>
      <c r="O9" s="9" t="str">
        <f t="shared" si="6"/>
        <v>優良</v>
      </c>
      <c r="P9" s="3"/>
      <c r="Q9" s="20"/>
      <c r="R9" s="20"/>
      <c r="S9" s="20"/>
      <c r="T9" s="20"/>
      <c r="U9" s="20"/>
    </row>
    <row r="10" spans="1:21" ht="15">
      <c r="A10" s="7" t="s">
        <v>48</v>
      </c>
      <c r="B10" s="7" t="s">
        <v>49</v>
      </c>
      <c r="C10" s="8" t="s">
        <v>43</v>
      </c>
      <c r="D10" s="8">
        <v>73</v>
      </c>
      <c r="E10" s="8">
        <v>65</v>
      </c>
      <c r="F10" s="8">
        <v>73</v>
      </c>
      <c r="G10" s="8">
        <v>26</v>
      </c>
      <c r="H10" s="9">
        <f t="shared" si="0"/>
        <v>211</v>
      </c>
      <c r="I10" s="9">
        <f t="shared" si="1"/>
        <v>70.3</v>
      </c>
      <c r="J10" s="9" t="str">
        <f t="shared" si="2"/>
        <v>C</v>
      </c>
      <c r="K10" s="9" t="str">
        <f>VLOOKUP(I10,等第表!$A$5:$B$9,2,TRUE)</f>
        <v>C</v>
      </c>
      <c r="L10" s="9">
        <f t="shared" si="3"/>
        <v>17</v>
      </c>
      <c r="M10" s="9" t="str">
        <f t="shared" si="4"/>
        <v>及格</v>
      </c>
      <c r="N10" s="9" t="str">
        <f t="shared" si="5"/>
        <v>雙科及格</v>
      </c>
      <c r="O10" s="9" t="str">
        <f t="shared" si="6"/>
        <v>一般</v>
      </c>
      <c r="P10" s="3"/>
      <c r="Q10" s="20"/>
      <c r="R10" s="20"/>
      <c r="S10" s="20"/>
      <c r="T10" s="20"/>
      <c r="U10" s="20"/>
    </row>
    <row r="11" spans="1:21" ht="15">
      <c r="A11" s="7" t="s">
        <v>50</v>
      </c>
      <c r="B11" s="7" t="s">
        <v>51</v>
      </c>
      <c r="C11" s="8" t="s">
        <v>37</v>
      </c>
      <c r="D11" s="8">
        <v>89</v>
      </c>
      <c r="E11" s="8">
        <v>84</v>
      </c>
      <c r="F11" s="8">
        <v>86</v>
      </c>
      <c r="G11" s="8">
        <v>26</v>
      </c>
      <c r="H11" s="9">
        <f t="shared" si="0"/>
        <v>259</v>
      </c>
      <c r="I11" s="9">
        <f t="shared" si="1"/>
        <v>86.3</v>
      </c>
      <c r="J11" s="9" t="str">
        <f t="shared" si="2"/>
        <v>B</v>
      </c>
      <c r="K11" s="9" t="str">
        <f>VLOOKUP(I11,等第表!$A$5:$B$9,2,TRUE)</f>
        <v>B</v>
      </c>
      <c r="L11" s="9">
        <f t="shared" si="3"/>
        <v>6</v>
      </c>
      <c r="M11" s="9" t="str">
        <f t="shared" si="4"/>
        <v>及格</v>
      </c>
      <c r="N11" s="9" t="str">
        <f t="shared" si="5"/>
        <v>雙科及格</v>
      </c>
      <c r="O11" s="9" t="str">
        <f t="shared" si="6"/>
        <v>一般</v>
      </c>
      <c r="P11" s="3"/>
      <c r="Q11" s="20"/>
      <c r="R11" s="20"/>
      <c r="S11" s="20"/>
      <c r="T11" s="20"/>
      <c r="U11" s="20"/>
    </row>
    <row r="12" spans="1:21" ht="15">
      <c r="A12" s="7" t="s">
        <v>52</v>
      </c>
      <c r="B12" s="7" t="s">
        <v>53</v>
      </c>
      <c r="C12" s="8" t="s">
        <v>40</v>
      </c>
      <c r="D12" s="8">
        <v>76</v>
      </c>
      <c r="E12" s="8">
        <v>44</v>
      </c>
      <c r="F12" s="8">
        <v>58</v>
      </c>
      <c r="G12" s="8">
        <v>27</v>
      </c>
      <c r="H12" s="9">
        <f t="shared" si="0"/>
        <v>178</v>
      </c>
      <c r="I12" s="9">
        <f t="shared" si="1"/>
        <v>59.3</v>
      </c>
      <c r="J12" s="9" t="str">
        <f t="shared" si="2"/>
        <v>F</v>
      </c>
      <c r="K12" s="9" t="str">
        <f>VLOOKUP(I12,等第表!$A$5:$B$9,2,TRUE)</f>
        <v>F</v>
      </c>
      <c r="L12" s="9">
        <f t="shared" si="3"/>
        <v>27</v>
      </c>
      <c r="M12" s="9" t="str">
        <f t="shared" si="4"/>
        <v>不及格</v>
      </c>
      <c r="N12" s="9" t="str">
        <f t="shared" si="5"/>
        <v>待補考</v>
      </c>
      <c r="O12" s="9" t="str">
        <f t="shared" si="6"/>
        <v>優良</v>
      </c>
      <c r="P12" s="3"/>
      <c r="Q12" s="20"/>
      <c r="R12" s="20"/>
      <c r="S12" s="20"/>
      <c r="T12" s="20"/>
      <c r="U12" s="20"/>
    </row>
    <row r="13" spans="1:21" ht="15">
      <c r="A13" s="7" t="s">
        <v>54</v>
      </c>
      <c r="B13" s="7" t="s">
        <v>55</v>
      </c>
      <c r="C13" s="8" t="s">
        <v>43</v>
      </c>
      <c r="D13" s="8">
        <v>49</v>
      </c>
      <c r="E13" s="8">
        <v>46</v>
      </c>
      <c r="F13" s="8">
        <v>61</v>
      </c>
      <c r="G13" s="8">
        <v>23</v>
      </c>
      <c r="H13" s="9">
        <f t="shared" si="0"/>
        <v>156</v>
      </c>
      <c r="I13" s="9">
        <f t="shared" si="1"/>
        <v>52</v>
      </c>
      <c r="J13" s="9" t="str">
        <f t="shared" si="2"/>
        <v>F</v>
      </c>
      <c r="K13" s="9" t="str">
        <f>VLOOKUP(I13,等第表!$A$5:$B$9,2,TRUE)</f>
        <v>F</v>
      </c>
      <c r="L13" s="9">
        <f t="shared" si="3"/>
        <v>29</v>
      </c>
      <c r="M13" s="9" t="str">
        <f t="shared" si="4"/>
        <v>不及格</v>
      </c>
      <c r="N13" s="9" t="str">
        <f t="shared" si="5"/>
        <v>待補考</v>
      </c>
      <c r="O13" s="9" t="str">
        <f t="shared" si="6"/>
        <v>一般</v>
      </c>
      <c r="P13" s="3"/>
      <c r="Q13" s="20"/>
      <c r="R13" s="20"/>
      <c r="S13" s="20"/>
      <c r="T13" s="20"/>
      <c r="U13" s="20"/>
    </row>
    <row r="14" spans="1:21" ht="15">
      <c r="A14" s="7" t="s">
        <v>56</v>
      </c>
      <c r="B14" s="7" t="s">
        <v>57</v>
      </c>
      <c r="C14" s="8" t="s">
        <v>37</v>
      </c>
      <c r="D14" s="8">
        <v>62</v>
      </c>
      <c r="E14" s="8">
        <v>51</v>
      </c>
      <c r="F14" s="8">
        <v>69</v>
      </c>
      <c r="G14" s="8">
        <v>21</v>
      </c>
      <c r="H14" s="9">
        <f t="shared" si="0"/>
        <v>182</v>
      </c>
      <c r="I14" s="9">
        <f t="shared" si="1"/>
        <v>60.7</v>
      </c>
      <c r="J14" s="9" t="str">
        <f t="shared" si="2"/>
        <v>D</v>
      </c>
      <c r="K14" s="9" t="str">
        <f>VLOOKUP(I14,等第表!$A$5:$B$9,2,TRUE)</f>
        <v>D</v>
      </c>
      <c r="L14" s="9">
        <f t="shared" si="3"/>
        <v>24</v>
      </c>
      <c r="M14" s="9" t="str">
        <f t="shared" si="4"/>
        <v>不及格</v>
      </c>
      <c r="N14" s="9" t="str">
        <f t="shared" si="5"/>
        <v>雙科及格</v>
      </c>
      <c r="O14" s="9" t="str">
        <f t="shared" si="6"/>
        <v>一般</v>
      </c>
      <c r="P14" s="3"/>
      <c r="Q14" s="20"/>
      <c r="R14" s="20"/>
      <c r="S14" s="20"/>
      <c r="T14" s="20"/>
      <c r="U14" s="20"/>
    </row>
    <row r="15" spans="1:21" ht="15">
      <c r="A15" s="7" t="s">
        <v>58</v>
      </c>
      <c r="B15" s="7" t="s">
        <v>59</v>
      </c>
      <c r="C15" s="8" t="s">
        <v>40</v>
      </c>
      <c r="D15" s="8">
        <v>91</v>
      </c>
      <c r="E15" s="8">
        <v>77</v>
      </c>
      <c r="F15" s="8">
        <v>79</v>
      </c>
      <c r="G15" s="8">
        <v>27</v>
      </c>
      <c r="H15" s="9">
        <f t="shared" si="0"/>
        <v>247</v>
      </c>
      <c r="I15" s="9">
        <f t="shared" si="1"/>
        <v>82.3</v>
      </c>
      <c r="J15" s="9" t="str">
        <f t="shared" si="2"/>
        <v>B</v>
      </c>
      <c r="K15" s="9" t="str">
        <f>VLOOKUP(I15,等第表!$A$5:$B$9,2,TRUE)</f>
        <v>B</v>
      </c>
      <c r="L15" s="9">
        <f t="shared" si="3"/>
        <v>8</v>
      </c>
      <c r="M15" s="9" t="str">
        <f t="shared" si="4"/>
        <v>及格</v>
      </c>
      <c r="N15" s="9" t="str">
        <f t="shared" si="5"/>
        <v>雙科及格</v>
      </c>
      <c r="O15" s="9" t="str">
        <f t="shared" si="6"/>
        <v>優良</v>
      </c>
      <c r="P15" s="3"/>
      <c r="Q15" s="3"/>
      <c r="R15" s="3"/>
      <c r="S15" s="3"/>
      <c r="T15" s="3"/>
      <c r="U15" s="3"/>
    </row>
    <row r="16" spans="1:21" ht="15">
      <c r="A16" s="7" t="s">
        <v>60</v>
      </c>
      <c r="B16" s="7" t="s">
        <v>61</v>
      </c>
      <c r="C16" s="8" t="s">
        <v>43</v>
      </c>
      <c r="D16" s="8">
        <v>75</v>
      </c>
      <c r="E16" s="8">
        <v>81</v>
      </c>
      <c r="F16" s="8">
        <v>60</v>
      </c>
      <c r="G16" s="8">
        <v>25</v>
      </c>
      <c r="H16" s="9">
        <f t="shared" si="0"/>
        <v>216</v>
      </c>
      <c r="I16" s="9">
        <f t="shared" si="1"/>
        <v>72</v>
      </c>
      <c r="J16" s="9" t="str">
        <f t="shared" si="2"/>
        <v>C</v>
      </c>
      <c r="K16" s="9" t="str">
        <f>VLOOKUP(I16,等第表!$A$5:$B$9,2,TRUE)</f>
        <v>C</v>
      </c>
      <c r="L16" s="9">
        <f t="shared" si="3"/>
        <v>15</v>
      </c>
      <c r="M16" s="9" t="str">
        <f t="shared" si="4"/>
        <v>及格</v>
      </c>
      <c r="N16" s="9" t="str">
        <f t="shared" si="5"/>
        <v>雙科及格</v>
      </c>
      <c r="O16" s="9" t="str">
        <f t="shared" si="6"/>
        <v>一般</v>
      </c>
      <c r="P16" s="3"/>
      <c r="Q16" s="3"/>
      <c r="R16" s="3"/>
      <c r="S16" s="3"/>
      <c r="T16" s="3"/>
      <c r="U16" s="3"/>
    </row>
    <row r="17" spans="1:21" ht="15">
      <c r="A17" s="7" t="s">
        <v>62</v>
      </c>
      <c r="B17" s="7" t="s">
        <v>63</v>
      </c>
      <c r="C17" s="8" t="s">
        <v>37</v>
      </c>
      <c r="D17" s="8">
        <v>47</v>
      </c>
      <c r="E17" s="8">
        <v>67</v>
      </c>
      <c r="F17" s="8">
        <v>77</v>
      </c>
      <c r="G17" s="8">
        <v>23</v>
      </c>
      <c r="H17" s="9">
        <f t="shared" si="0"/>
        <v>191</v>
      </c>
      <c r="I17" s="9">
        <f t="shared" si="1"/>
        <v>63.7</v>
      </c>
      <c r="J17" s="9" t="str">
        <f t="shared" si="2"/>
        <v>D</v>
      </c>
      <c r="K17" s="9" t="str">
        <f>VLOOKUP(I17,等第表!$A$5:$B$9,2,TRUE)</f>
        <v>D</v>
      </c>
      <c r="L17" s="9">
        <f t="shared" si="3"/>
        <v>22</v>
      </c>
      <c r="M17" s="9" t="str">
        <f t="shared" si="4"/>
        <v>及格</v>
      </c>
      <c r="N17" s="9" t="str">
        <f t="shared" si="5"/>
        <v>待補考</v>
      </c>
      <c r="O17" s="9" t="str">
        <f t="shared" si="6"/>
        <v>一般</v>
      </c>
      <c r="P17" s="3"/>
      <c r="Q17" s="3"/>
      <c r="R17" s="3"/>
      <c r="S17" s="3"/>
      <c r="T17" s="3"/>
      <c r="U17" s="3"/>
    </row>
    <row r="18" spans="1:21" ht="15">
      <c r="A18" s="7" t="s">
        <v>64</v>
      </c>
      <c r="B18" s="7" t="s">
        <v>65</v>
      </c>
      <c r="C18" s="8" t="s">
        <v>40</v>
      </c>
      <c r="D18" s="8">
        <v>100</v>
      </c>
      <c r="E18" s="8">
        <v>80</v>
      </c>
      <c r="F18" s="8">
        <v>92</v>
      </c>
      <c r="G18" s="8">
        <v>25</v>
      </c>
      <c r="H18" s="9">
        <f t="shared" si="0"/>
        <v>272</v>
      </c>
      <c r="I18" s="9">
        <f t="shared" si="1"/>
        <v>90.7</v>
      </c>
      <c r="J18" s="9" t="str">
        <f t="shared" si="2"/>
        <v>A</v>
      </c>
      <c r="K18" s="9" t="str">
        <f>VLOOKUP(I18,等第表!$A$5:$B$9,2,TRUE)</f>
        <v>A</v>
      </c>
      <c r="L18" s="9">
        <f t="shared" si="3"/>
        <v>2</v>
      </c>
      <c r="M18" s="9" t="str">
        <f t="shared" si="4"/>
        <v>及格</v>
      </c>
      <c r="N18" s="9" t="str">
        <f t="shared" si="5"/>
        <v>雙科及格</v>
      </c>
      <c r="O18" s="9" t="str">
        <f t="shared" si="6"/>
        <v>一般</v>
      </c>
      <c r="P18" s="3"/>
      <c r="Q18" s="3"/>
      <c r="R18" s="3"/>
      <c r="S18" s="3"/>
      <c r="T18" s="3"/>
      <c r="U18" s="3"/>
    </row>
    <row r="19" spans="1:21" ht="15">
      <c r="A19" s="7" t="s">
        <v>66</v>
      </c>
      <c r="B19" s="7" t="s">
        <v>67</v>
      </c>
      <c r="C19" s="8" t="s">
        <v>43</v>
      </c>
      <c r="D19" s="8">
        <v>45</v>
      </c>
      <c r="E19" s="8">
        <v>50</v>
      </c>
      <c r="F19" s="8">
        <v>50</v>
      </c>
      <c r="G19" s="8">
        <v>22</v>
      </c>
      <c r="H19" s="9">
        <f t="shared" si="0"/>
        <v>145</v>
      </c>
      <c r="I19" s="9">
        <f t="shared" si="1"/>
        <v>48.3</v>
      </c>
      <c r="J19" s="9" t="str">
        <f t="shared" si="2"/>
        <v>F</v>
      </c>
      <c r="K19" s="9" t="str">
        <f>VLOOKUP(I19,等第表!$A$5:$B$9,2,TRUE)</f>
        <v>F</v>
      </c>
      <c r="L19" s="9">
        <f t="shared" si="3"/>
        <v>30</v>
      </c>
      <c r="M19" s="9" t="str">
        <f t="shared" si="4"/>
        <v>不及格</v>
      </c>
      <c r="N19" s="9" t="str">
        <f t="shared" si="5"/>
        <v>待補考</v>
      </c>
      <c r="O19" s="9" t="str">
        <f t="shared" si="6"/>
        <v>一般</v>
      </c>
      <c r="P19" s="3"/>
      <c r="Q19" s="3"/>
      <c r="R19" s="3"/>
      <c r="S19" s="3"/>
      <c r="T19" s="3"/>
      <c r="U19" s="3"/>
    </row>
    <row r="20" spans="1:21" ht="15">
      <c r="A20" s="7" t="s">
        <v>68</v>
      </c>
      <c r="B20" s="7" t="s">
        <v>69</v>
      </c>
      <c r="C20" s="8" t="s">
        <v>37</v>
      </c>
      <c r="D20" s="8">
        <v>65</v>
      </c>
      <c r="E20" s="8">
        <v>82</v>
      </c>
      <c r="F20" s="8">
        <v>59</v>
      </c>
      <c r="G20" s="8">
        <v>30</v>
      </c>
      <c r="H20" s="9">
        <f t="shared" si="0"/>
        <v>206</v>
      </c>
      <c r="I20" s="9">
        <f t="shared" si="1"/>
        <v>68.7</v>
      </c>
      <c r="J20" s="9" t="str">
        <f t="shared" si="2"/>
        <v>D</v>
      </c>
      <c r="K20" s="9" t="str">
        <f>VLOOKUP(I20,等第表!$A$5:$B$9,2,TRUE)</f>
        <v>D</v>
      </c>
      <c r="L20" s="9">
        <f t="shared" si="3"/>
        <v>21</v>
      </c>
      <c r="M20" s="9" t="str">
        <f t="shared" si="4"/>
        <v>及格</v>
      </c>
      <c r="N20" s="9" t="str">
        <f t="shared" si="5"/>
        <v>待補考</v>
      </c>
      <c r="O20" s="9" t="str">
        <f t="shared" si="6"/>
        <v>優良</v>
      </c>
      <c r="P20" s="3"/>
      <c r="Q20" s="3"/>
      <c r="R20" s="3"/>
      <c r="S20" s="3"/>
      <c r="T20" s="3"/>
      <c r="U20" s="3"/>
    </row>
    <row r="21" spans="1:21" ht="15">
      <c r="A21" s="7" t="s">
        <v>70</v>
      </c>
      <c r="B21" s="7" t="s">
        <v>71</v>
      </c>
      <c r="C21" s="8" t="s">
        <v>40</v>
      </c>
      <c r="D21" s="8">
        <v>74</v>
      </c>
      <c r="E21" s="8">
        <v>81</v>
      </c>
      <c r="F21" s="8">
        <v>91</v>
      </c>
      <c r="G21" s="8">
        <v>27</v>
      </c>
      <c r="H21" s="9">
        <f t="shared" si="0"/>
        <v>246</v>
      </c>
      <c r="I21" s="9">
        <f t="shared" si="1"/>
        <v>82</v>
      </c>
      <c r="J21" s="9" t="str">
        <f t="shared" si="2"/>
        <v>B</v>
      </c>
      <c r="K21" s="9" t="str">
        <f>VLOOKUP(I21,等第表!$A$5:$B$9,2,TRUE)</f>
        <v>B</v>
      </c>
      <c r="L21" s="9">
        <f t="shared" si="3"/>
        <v>9</v>
      </c>
      <c r="M21" s="9" t="str">
        <f t="shared" si="4"/>
        <v>及格</v>
      </c>
      <c r="N21" s="9" t="str">
        <f t="shared" si="5"/>
        <v>雙科及格</v>
      </c>
      <c r="O21" s="9" t="str">
        <f t="shared" si="6"/>
        <v>優良</v>
      </c>
      <c r="P21" s="3"/>
      <c r="Q21" s="3"/>
      <c r="R21" s="3"/>
      <c r="S21" s="3"/>
      <c r="T21" s="3"/>
      <c r="U21" s="3"/>
    </row>
    <row r="22" spans="1:21" ht="15">
      <c r="A22" s="7" t="s">
        <v>72</v>
      </c>
      <c r="B22" s="7" t="s">
        <v>73</v>
      </c>
      <c r="C22" s="8" t="s">
        <v>43</v>
      </c>
      <c r="D22" s="8">
        <v>56</v>
      </c>
      <c r="E22" s="8">
        <v>50</v>
      </c>
      <c r="F22" s="8">
        <v>65</v>
      </c>
      <c r="G22" s="8">
        <v>23</v>
      </c>
      <c r="H22" s="9">
        <f t="shared" si="0"/>
        <v>171</v>
      </c>
      <c r="I22" s="9">
        <f t="shared" si="1"/>
        <v>57</v>
      </c>
      <c r="J22" s="9" t="str">
        <f t="shared" si="2"/>
        <v>F</v>
      </c>
      <c r="K22" s="9" t="str">
        <f>VLOOKUP(I22,等第表!$A$5:$B$9,2,TRUE)</f>
        <v>F</v>
      </c>
      <c r="L22" s="9">
        <f t="shared" si="3"/>
        <v>28</v>
      </c>
      <c r="M22" s="9" t="str">
        <f t="shared" si="4"/>
        <v>不及格</v>
      </c>
      <c r="N22" s="9" t="str">
        <f t="shared" si="5"/>
        <v>待補考</v>
      </c>
      <c r="O22" s="9" t="str">
        <f t="shared" si="6"/>
        <v>一般</v>
      </c>
      <c r="P22" s="3"/>
      <c r="Q22" s="3"/>
      <c r="R22" s="3"/>
      <c r="S22" s="3"/>
      <c r="T22" s="3"/>
      <c r="U22" s="3"/>
    </row>
    <row r="23" spans="1:21" ht="15">
      <c r="A23" s="7" t="s">
        <v>74</v>
      </c>
      <c r="B23" s="7" t="s">
        <v>75</v>
      </c>
      <c r="C23" s="8" t="s">
        <v>37</v>
      </c>
      <c r="D23" s="8">
        <v>66</v>
      </c>
      <c r="E23" s="8">
        <v>53</v>
      </c>
      <c r="F23" s="8">
        <v>62</v>
      </c>
      <c r="G23" s="8">
        <v>24</v>
      </c>
      <c r="H23" s="9">
        <f t="shared" si="0"/>
        <v>181</v>
      </c>
      <c r="I23" s="9">
        <f t="shared" si="1"/>
        <v>60.3</v>
      </c>
      <c r="J23" s="9" t="str">
        <f t="shared" si="2"/>
        <v>D</v>
      </c>
      <c r="K23" s="9" t="str">
        <f>VLOOKUP(I23,等第表!$A$5:$B$9,2,TRUE)</f>
        <v>D</v>
      </c>
      <c r="L23" s="9">
        <f t="shared" si="3"/>
        <v>26</v>
      </c>
      <c r="M23" s="9" t="str">
        <f t="shared" si="4"/>
        <v>不及格</v>
      </c>
      <c r="N23" s="9" t="str">
        <f t="shared" si="5"/>
        <v>雙科及格</v>
      </c>
      <c r="O23" s="9" t="str">
        <f t="shared" si="6"/>
        <v>一般</v>
      </c>
      <c r="P23" s="3"/>
      <c r="Q23" s="3"/>
      <c r="R23" s="3"/>
      <c r="S23" s="3"/>
      <c r="T23" s="3"/>
      <c r="U23" s="3"/>
    </row>
    <row r="24" spans="1:21" ht="15">
      <c r="A24" s="7" t="s">
        <v>76</v>
      </c>
      <c r="B24" s="7" t="s">
        <v>77</v>
      </c>
      <c r="C24" s="8" t="s">
        <v>40</v>
      </c>
      <c r="D24" s="8">
        <v>65</v>
      </c>
      <c r="E24" s="8">
        <v>75</v>
      </c>
      <c r="F24" s="8">
        <v>74</v>
      </c>
      <c r="G24" s="8">
        <v>26</v>
      </c>
      <c r="H24" s="9">
        <f t="shared" si="0"/>
        <v>214</v>
      </c>
      <c r="I24" s="9">
        <f t="shared" si="1"/>
        <v>71.3</v>
      </c>
      <c r="J24" s="9" t="str">
        <f t="shared" si="2"/>
        <v>C</v>
      </c>
      <c r="K24" s="9" t="str">
        <f>VLOOKUP(I24,等第表!$A$5:$B$9,2,TRUE)</f>
        <v>C</v>
      </c>
      <c r="L24" s="9">
        <f t="shared" si="3"/>
        <v>16</v>
      </c>
      <c r="M24" s="9" t="str">
        <f t="shared" si="4"/>
        <v>及格</v>
      </c>
      <c r="N24" s="9" t="str">
        <f t="shared" si="5"/>
        <v>雙科及格</v>
      </c>
      <c r="O24" s="9" t="str">
        <f t="shared" si="6"/>
        <v>一般</v>
      </c>
      <c r="P24" s="3"/>
      <c r="Q24" s="3"/>
      <c r="R24" s="3"/>
      <c r="S24" s="3"/>
      <c r="T24" s="3"/>
      <c r="U24" s="3"/>
    </row>
    <row r="25" spans="1:21" ht="15">
      <c r="A25" s="7" t="s">
        <v>78</v>
      </c>
      <c r="B25" s="7" t="s">
        <v>79</v>
      </c>
      <c r="C25" s="8" t="s">
        <v>43</v>
      </c>
      <c r="D25" s="8">
        <v>75</v>
      </c>
      <c r="E25" s="8">
        <v>63</v>
      </c>
      <c r="F25" s="8">
        <v>73</v>
      </c>
      <c r="G25" s="8">
        <v>26</v>
      </c>
      <c r="H25" s="9">
        <f t="shared" si="0"/>
        <v>211</v>
      </c>
      <c r="I25" s="9">
        <f t="shared" si="1"/>
        <v>70.3</v>
      </c>
      <c r="J25" s="9" t="str">
        <f t="shared" si="2"/>
        <v>C</v>
      </c>
      <c r="K25" s="9" t="str">
        <f>VLOOKUP(I25,等第表!$A$5:$B$9,2,TRUE)</f>
        <v>C</v>
      </c>
      <c r="L25" s="9">
        <f t="shared" si="3"/>
        <v>17</v>
      </c>
      <c r="M25" s="9" t="str">
        <f t="shared" si="4"/>
        <v>及格</v>
      </c>
      <c r="N25" s="9" t="str">
        <f t="shared" si="5"/>
        <v>雙科及格</v>
      </c>
      <c r="O25" s="9" t="str">
        <f t="shared" si="6"/>
        <v>一般</v>
      </c>
      <c r="P25" s="3"/>
      <c r="Q25" s="3"/>
      <c r="R25" s="3"/>
      <c r="S25" s="3"/>
      <c r="T25" s="3"/>
      <c r="U25" s="3"/>
    </row>
    <row r="26" spans="1:21" ht="15">
      <c r="A26" s="7" t="s">
        <v>80</v>
      </c>
      <c r="B26" s="7" t="s">
        <v>81</v>
      </c>
      <c r="C26" s="8" t="s">
        <v>37</v>
      </c>
      <c r="D26" s="8">
        <v>64</v>
      </c>
      <c r="E26" s="8">
        <v>83</v>
      </c>
      <c r="F26" s="8">
        <v>80</v>
      </c>
      <c r="G26" s="8">
        <v>22</v>
      </c>
      <c r="H26" s="9">
        <f t="shared" si="0"/>
        <v>227</v>
      </c>
      <c r="I26" s="9">
        <f t="shared" si="1"/>
        <v>75.7</v>
      </c>
      <c r="J26" s="9" t="str">
        <f t="shared" si="2"/>
        <v>C</v>
      </c>
      <c r="K26" s="9" t="str">
        <f>VLOOKUP(I26,等第表!$A$5:$B$9,2,TRUE)</f>
        <v>C</v>
      </c>
      <c r="L26" s="9">
        <f t="shared" si="3"/>
        <v>12</v>
      </c>
      <c r="M26" s="9" t="str">
        <f t="shared" si="4"/>
        <v>及格</v>
      </c>
      <c r="N26" s="9" t="str">
        <f t="shared" si="5"/>
        <v>雙科及格</v>
      </c>
      <c r="O26" s="9" t="str">
        <f t="shared" si="6"/>
        <v>一般</v>
      </c>
      <c r="P26" s="3"/>
      <c r="Q26" s="3"/>
      <c r="R26" s="3"/>
      <c r="S26" s="3"/>
      <c r="T26" s="3"/>
      <c r="U26" s="3"/>
    </row>
    <row r="27" spans="1:21" ht="15">
      <c r="A27" s="7" t="s">
        <v>82</v>
      </c>
      <c r="B27" s="7" t="s">
        <v>83</v>
      </c>
      <c r="C27" s="8" t="s">
        <v>40</v>
      </c>
      <c r="D27" s="8">
        <v>73</v>
      </c>
      <c r="E27" s="8">
        <v>73</v>
      </c>
      <c r="F27" s="8">
        <v>78</v>
      </c>
      <c r="G27" s="8">
        <v>27</v>
      </c>
      <c r="H27" s="9">
        <f t="shared" si="0"/>
        <v>224</v>
      </c>
      <c r="I27" s="9">
        <f t="shared" si="1"/>
        <v>74.7</v>
      </c>
      <c r="J27" s="9" t="str">
        <f t="shared" si="2"/>
        <v>C</v>
      </c>
      <c r="K27" s="9" t="str">
        <f>VLOOKUP(I27,等第表!$A$5:$B$9,2,TRUE)</f>
        <v>C</v>
      </c>
      <c r="L27" s="9">
        <f t="shared" si="3"/>
        <v>14</v>
      </c>
      <c r="M27" s="9" t="str">
        <f t="shared" si="4"/>
        <v>及格</v>
      </c>
      <c r="N27" s="9" t="str">
        <f t="shared" si="5"/>
        <v>雙科及格</v>
      </c>
      <c r="O27" s="9" t="str">
        <f t="shared" si="6"/>
        <v>優良</v>
      </c>
      <c r="P27" s="3"/>
      <c r="Q27" s="3"/>
      <c r="R27" s="3"/>
      <c r="S27" s="3"/>
      <c r="T27" s="3"/>
      <c r="U27" s="3"/>
    </row>
    <row r="28" spans="1:21" ht="15">
      <c r="A28" s="7" t="s">
        <v>84</v>
      </c>
      <c r="B28" s="7" t="s">
        <v>85</v>
      </c>
      <c r="C28" s="8" t="s">
        <v>43</v>
      </c>
      <c r="D28" s="8">
        <v>77</v>
      </c>
      <c r="E28" s="8">
        <v>63</v>
      </c>
      <c r="F28" s="8">
        <v>42</v>
      </c>
      <c r="G28" s="8">
        <v>23</v>
      </c>
      <c r="H28" s="9">
        <f t="shared" si="0"/>
        <v>182</v>
      </c>
      <c r="I28" s="9">
        <f t="shared" si="1"/>
        <v>60.7</v>
      </c>
      <c r="J28" s="9" t="str">
        <f t="shared" si="2"/>
        <v>D</v>
      </c>
      <c r="K28" s="9" t="str">
        <f>VLOOKUP(I28,等第表!$A$5:$B$9,2,TRUE)</f>
        <v>D</v>
      </c>
      <c r="L28" s="9">
        <f t="shared" si="3"/>
        <v>24</v>
      </c>
      <c r="M28" s="9" t="str">
        <f t="shared" si="4"/>
        <v>及格</v>
      </c>
      <c r="N28" s="9" t="str">
        <f t="shared" si="5"/>
        <v>待補考</v>
      </c>
      <c r="O28" s="9" t="str">
        <f t="shared" si="6"/>
        <v>一般</v>
      </c>
      <c r="P28" s="3"/>
      <c r="Q28" s="3"/>
      <c r="R28" s="3"/>
      <c r="S28" s="3"/>
      <c r="T28" s="3"/>
      <c r="U28" s="3"/>
    </row>
    <row r="29" spans="1:21" ht="15">
      <c r="A29" s="7" t="s">
        <v>86</v>
      </c>
      <c r="B29" s="7" t="s">
        <v>87</v>
      </c>
      <c r="C29" s="8" t="s">
        <v>37</v>
      </c>
      <c r="D29" s="8">
        <v>57</v>
      </c>
      <c r="E29" s="8">
        <v>59</v>
      </c>
      <c r="F29" s="8">
        <v>73</v>
      </c>
      <c r="G29" s="8">
        <v>21</v>
      </c>
      <c r="H29" s="9">
        <f t="shared" si="0"/>
        <v>189</v>
      </c>
      <c r="I29" s="9">
        <f t="shared" si="1"/>
        <v>63</v>
      </c>
      <c r="J29" s="9" t="str">
        <f t="shared" si="2"/>
        <v>D</v>
      </c>
      <c r="K29" s="9" t="str">
        <f>VLOOKUP(I29,等第表!$A$5:$B$9,2,TRUE)</f>
        <v>D</v>
      </c>
      <c r="L29" s="9">
        <f t="shared" si="3"/>
        <v>23</v>
      </c>
      <c r="M29" s="9" t="str">
        <f t="shared" si="4"/>
        <v>不及格</v>
      </c>
      <c r="N29" s="9" t="str">
        <f t="shared" si="5"/>
        <v>待補考</v>
      </c>
      <c r="O29" s="9" t="str">
        <f t="shared" si="6"/>
        <v>一般</v>
      </c>
      <c r="P29" s="3"/>
      <c r="Q29" s="3"/>
      <c r="R29" s="3"/>
      <c r="S29" s="3"/>
      <c r="T29" s="3"/>
      <c r="U29" s="3"/>
    </row>
    <row r="30" spans="1:21" ht="15">
      <c r="A30" s="7" t="s">
        <v>88</v>
      </c>
      <c r="B30" s="7" t="s">
        <v>89</v>
      </c>
      <c r="C30" s="8" t="s">
        <v>40</v>
      </c>
      <c r="D30" s="8">
        <v>89</v>
      </c>
      <c r="E30" s="8">
        <v>74</v>
      </c>
      <c r="F30" s="8">
        <v>69</v>
      </c>
      <c r="G30" s="8">
        <v>27</v>
      </c>
      <c r="H30" s="9">
        <f t="shared" si="0"/>
        <v>232</v>
      </c>
      <c r="I30" s="9">
        <f t="shared" si="1"/>
        <v>77.3</v>
      </c>
      <c r="J30" s="9" t="str">
        <f t="shared" si="2"/>
        <v>C</v>
      </c>
      <c r="K30" s="9" t="str">
        <f>VLOOKUP(I30,等第表!$A$5:$B$9,2,TRUE)</f>
        <v>C</v>
      </c>
      <c r="L30" s="9">
        <f t="shared" si="3"/>
        <v>11</v>
      </c>
      <c r="M30" s="9" t="str">
        <f t="shared" si="4"/>
        <v>及格</v>
      </c>
      <c r="N30" s="9" t="str">
        <f t="shared" si="5"/>
        <v>雙科及格</v>
      </c>
      <c r="O30" s="9" t="str">
        <f t="shared" si="6"/>
        <v>優良</v>
      </c>
      <c r="P30" s="3"/>
      <c r="Q30" s="3"/>
      <c r="R30" s="3"/>
      <c r="S30" s="3"/>
      <c r="T30" s="3"/>
      <c r="U30" s="3"/>
    </row>
    <row r="31" spans="1:21" ht="15">
      <c r="A31" s="7" t="s">
        <v>90</v>
      </c>
      <c r="B31" s="7" t="s">
        <v>91</v>
      </c>
      <c r="C31" s="8" t="s">
        <v>43</v>
      </c>
      <c r="D31" s="8">
        <v>99</v>
      </c>
      <c r="E31" s="8">
        <v>80</v>
      </c>
      <c r="F31" s="8">
        <v>93</v>
      </c>
      <c r="G31" s="8">
        <v>30</v>
      </c>
      <c r="H31" s="9">
        <f t="shared" si="0"/>
        <v>272</v>
      </c>
      <c r="I31" s="9">
        <f t="shared" si="1"/>
        <v>90.7</v>
      </c>
      <c r="J31" s="9" t="str">
        <f t="shared" si="2"/>
        <v>A</v>
      </c>
      <c r="K31" s="9" t="str">
        <f>VLOOKUP(I31,等第表!$A$5:$B$9,2,TRUE)</f>
        <v>A</v>
      </c>
      <c r="L31" s="9">
        <f t="shared" si="3"/>
        <v>2</v>
      </c>
      <c r="M31" s="9" t="str">
        <f t="shared" si="4"/>
        <v>及格</v>
      </c>
      <c r="N31" s="9" t="str">
        <f t="shared" si="5"/>
        <v>雙科及格</v>
      </c>
      <c r="O31" s="9" t="str">
        <f t="shared" si="6"/>
        <v>優良</v>
      </c>
      <c r="P31" s="3"/>
      <c r="Q31" s="3"/>
      <c r="R31" s="3"/>
      <c r="S31" s="3"/>
      <c r="T31" s="3"/>
      <c r="U31" s="3"/>
    </row>
    <row r="32" spans="1:21" ht="15">
      <c r="A32" s="7" t="s">
        <v>92</v>
      </c>
      <c r="B32" s="7" t="s">
        <v>93</v>
      </c>
      <c r="C32" s="8" t="s">
        <v>37</v>
      </c>
      <c r="D32" s="8">
        <v>81</v>
      </c>
      <c r="E32" s="8">
        <v>80</v>
      </c>
      <c r="F32" s="8">
        <v>66</v>
      </c>
      <c r="G32" s="8">
        <v>26</v>
      </c>
      <c r="H32" s="9">
        <f t="shared" si="0"/>
        <v>227</v>
      </c>
      <c r="I32" s="9">
        <f t="shared" si="1"/>
        <v>75.7</v>
      </c>
      <c r="J32" s="9" t="str">
        <f t="shared" si="2"/>
        <v>C</v>
      </c>
      <c r="K32" s="9" t="str">
        <f>VLOOKUP(I32,等第表!$A$5:$B$9,2,TRUE)</f>
        <v>C</v>
      </c>
      <c r="L32" s="9">
        <f t="shared" si="3"/>
        <v>12</v>
      </c>
      <c r="M32" s="9" t="str">
        <f t="shared" si="4"/>
        <v>及格</v>
      </c>
      <c r="N32" s="9" t="str">
        <f t="shared" si="5"/>
        <v>雙科及格</v>
      </c>
      <c r="O32" s="9" t="str">
        <f t="shared" si="6"/>
        <v>一般</v>
      </c>
      <c r="P32" s="3"/>
      <c r="Q32" s="3"/>
      <c r="R32" s="3"/>
      <c r="S32" s="3"/>
      <c r="T32" s="3"/>
      <c r="U32" s="3"/>
    </row>
    <row r="33" spans="1:21" ht="15">
      <c r="A33" s="7" t="s">
        <v>94</v>
      </c>
      <c r="B33" s="7" t="s">
        <v>95</v>
      </c>
      <c r="C33" s="8" t="s">
        <v>40</v>
      </c>
      <c r="D33" s="8">
        <v>86</v>
      </c>
      <c r="E33" s="8">
        <v>76</v>
      </c>
      <c r="F33" s="8">
        <v>98</v>
      </c>
      <c r="G33" s="8">
        <v>29</v>
      </c>
      <c r="H33" s="9">
        <f t="shared" si="0"/>
        <v>260</v>
      </c>
      <c r="I33" s="9">
        <f t="shared" si="1"/>
        <v>86.7</v>
      </c>
      <c r="J33" s="9" t="str">
        <f t="shared" si="2"/>
        <v>B</v>
      </c>
      <c r="K33" s="9" t="str">
        <f>VLOOKUP(I33,等第表!$A$5:$B$9,2,TRUE)</f>
        <v>B</v>
      </c>
      <c r="L33" s="9">
        <f t="shared" si="3"/>
        <v>5</v>
      </c>
      <c r="M33" s="9" t="str">
        <f t="shared" si="4"/>
        <v>及格</v>
      </c>
      <c r="N33" s="9" t="str">
        <f t="shared" si="5"/>
        <v>雙科及格</v>
      </c>
      <c r="O33" s="9" t="str">
        <f t="shared" si="6"/>
        <v>優良</v>
      </c>
      <c r="P33" s="3"/>
      <c r="Q33" s="3"/>
      <c r="R33" s="3"/>
      <c r="S33" s="3"/>
      <c r="T33" s="3"/>
      <c r="U33" s="3"/>
    </row>
    <row r="34" spans="1:21" ht="15">
      <c r="A34" s="7" t="s">
        <v>96</v>
      </c>
      <c r="B34" s="7" t="s">
        <v>97</v>
      </c>
      <c r="C34" s="8" t="s">
        <v>43</v>
      </c>
      <c r="D34" s="8">
        <v>63</v>
      </c>
      <c r="E34" s="8">
        <v>71</v>
      </c>
      <c r="F34" s="8">
        <v>77</v>
      </c>
      <c r="G34" s="8">
        <v>22</v>
      </c>
      <c r="H34" s="9">
        <f t="shared" si="0"/>
        <v>211</v>
      </c>
      <c r="I34" s="9">
        <f t="shared" si="1"/>
        <v>70.3</v>
      </c>
      <c r="J34" s="9" t="str">
        <f t="shared" si="2"/>
        <v>C</v>
      </c>
      <c r="K34" s="9" t="str">
        <f>VLOOKUP(I34,等第表!$A$5:$B$9,2,TRUE)</f>
        <v>C</v>
      </c>
      <c r="L34" s="9">
        <f t="shared" si="3"/>
        <v>17</v>
      </c>
      <c r="M34" s="9" t="str">
        <f t="shared" si="4"/>
        <v>及格</v>
      </c>
      <c r="N34" s="9" t="str">
        <f t="shared" si="5"/>
        <v>雙科及格</v>
      </c>
      <c r="O34" s="9" t="str">
        <f t="shared" si="6"/>
        <v>一般</v>
      </c>
      <c r="P34" s="3"/>
      <c r="Q34" s="3"/>
      <c r="R34" s="3"/>
      <c r="S34" s="3"/>
      <c r="T34" s="3"/>
      <c r="U34" s="3"/>
    </row>
  </sheetData>
  <autoFilter ref="A4:O34" xr:uid="{00000000-0009-0000-0000-000001000000}"/>
  <mergeCells count="1">
    <mergeCell ref="Q4:U14"/>
  </mergeCells>
  <phoneticPr fontId="11" type="noConversion"/>
  <conditionalFormatting sqref="D5:F34">
    <cfRule type="cellIs" dxfId="3" priority="1" operator="lessThan">
      <formula>60</formula>
    </cfRule>
    <cfRule type="cellIs" dxfId="2" priority="2" operator="greaterThanOrEqual">
      <formula>90</formula>
    </cfRule>
  </conditionalFormatting>
  <conditionalFormatting sqref="I5:I34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5:H34">
    <cfRule type="dataBar" priority="4">
      <dataBar>
        <cfvo type="min"/>
        <cfvo type="max"/>
        <color rgb="FF60A5FA"/>
      </dataBar>
    </cfRule>
  </conditionalFormatting>
  <conditionalFormatting sqref="M5:N34">
    <cfRule type="cellIs" dxfId="1" priority="5" operator="equal">
      <formula>"不及格"</formula>
    </cfRule>
  </conditionalFormatting>
  <conditionalFormatting sqref="N5:N34">
    <cfRule type="cellIs" dxfId="0" priority="6" operator="equal">
      <formula>"待補考"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4"/>
  <sheetViews>
    <sheetView workbookViewId="0"/>
  </sheetViews>
  <sheetFormatPr defaultRowHeight="14.5"/>
  <cols>
    <col min="1" max="1" width="11" customWidth="1"/>
    <col min="2" max="2" width="8" customWidth="1"/>
    <col min="3" max="3" width="11" customWidth="1"/>
    <col min="4" max="4" width="12" customWidth="1"/>
  </cols>
  <sheetData>
    <row r="1" spans="1:6" ht="20.5">
      <c r="A1" s="1" t="s">
        <v>98</v>
      </c>
      <c r="B1" s="3"/>
      <c r="C1" s="3"/>
      <c r="D1" s="3"/>
      <c r="E1" s="3"/>
      <c r="F1" s="3"/>
    </row>
    <row r="2" spans="1:6" ht="15">
      <c r="A2" s="2" t="s">
        <v>99</v>
      </c>
      <c r="B2" s="3"/>
      <c r="C2" s="3"/>
      <c r="D2" s="3"/>
      <c r="E2" s="3"/>
      <c r="F2" s="3"/>
    </row>
    <row r="3" spans="1:6" ht="15">
      <c r="A3" s="3"/>
      <c r="B3" s="3"/>
      <c r="C3" s="3"/>
      <c r="D3" s="3"/>
      <c r="E3" s="3"/>
      <c r="F3" s="3"/>
    </row>
    <row r="4" spans="1:6" ht="15">
      <c r="A4" s="6" t="s">
        <v>100</v>
      </c>
      <c r="B4" s="6" t="s">
        <v>101</v>
      </c>
      <c r="C4" s="6" t="s">
        <v>102</v>
      </c>
      <c r="D4" s="6" t="s">
        <v>103</v>
      </c>
      <c r="E4" s="3"/>
      <c r="F4" s="3"/>
    </row>
    <row r="5" spans="1:6" ht="15">
      <c r="A5" s="7">
        <v>0</v>
      </c>
      <c r="B5" s="7" t="s">
        <v>104</v>
      </c>
      <c r="C5" s="7" t="s">
        <v>105</v>
      </c>
      <c r="D5" s="7" t="s">
        <v>106</v>
      </c>
      <c r="E5" s="3"/>
      <c r="F5" s="3"/>
    </row>
    <row r="6" spans="1:6" ht="15">
      <c r="A6" s="7">
        <v>60</v>
      </c>
      <c r="B6" s="7" t="s">
        <v>107</v>
      </c>
      <c r="C6" s="7" t="s">
        <v>108</v>
      </c>
      <c r="D6" s="7" t="s">
        <v>109</v>
      </c>
      <c r="E6" s="3"/>
      <c r="F6" s="3"/>
    </row>
    <row r="7" spans="1:6" ht="15">
      <c r="A7" s="7">
        <v>70</v>
      </c>
      <c r="B7" s="7" t="s">
        <v>110</v>
      </c>
      <c r="C7" s="7" t="s">
        <v>111</v>
      </c>
      <c r="D7" s="7" t="s">
        <v>112</v>
      </c>
      <c r="E7" s="3"/>
      <c r="F7" s="3"/>
    </row>
    <row r="8" spans="1:6" ht="15">
      <c r="A8" s="7">
        <v>80</v>
      </c>
      <c r="B8" s="7" t="s">
        <v>113</v>
      </c>
      <c r="C8" s="7" t="s">
        <v>114</v>
      </c>
      <c r="D8" s="7" t="s">
        <v>115</v>
      </c>
      <c r="E8" s="3"/>
      <c r="F8" s="3"/>
    </row>
    <row r="9" spans="1:6" ht="15">
      <c r="A9" s="7">
        <v>90</v>
      </c>
      <c r="B9" s="7" t="s">
        <v>116</v>
      </c>
      <c r="C9" s="7" t="s">
        <v>117</v>
      </c>
      <c r="D9" s="7" t="s">
        <v>118</v>
      </c>
      <c r="E9" s="3"/>
      <c r="F9" s="3"/>
    </row>
    <row r="10" spans="1:6" ht="15">
      <c r="A10" s="3"/>
      <c r="B10" s="3"/>
      <c r="C10" s="3"/>
      <c r="D10" s="3"/>
      <c r="E10" s="3"/>
      <c r="F10" s="3"/>
    </row>
    <row r="11" spans="1:6">
      <c r="A11" s="19" t="s">
        <v>119</v>
      </c>
      <c r="B11" s="20"/>
      <c r="C11" s="20"/>
      <c r="D11" s="20"/>
      <c r="E11" s="20"/>
      <c r="F11" s="20"/>
    </row>
    <row r="12" spans="1:6">
      <c r="A12" s="20"/>
      <c r="B12" s="20"/>
      <c r="C12" s="20"/>
      <c r="D12" s="20"/>
      <c r="E12" s="20"/>
      <c r="F12" s="20"/>
    </row>
    <row r="13" spans="1:6">
      <c r="A13" s="20"/>
      <c r="B13" s="20"/>
      <c r="C13" s="20"/>
      <c r="D13" s="20"/>
      <c r="E13" s="20"/>
      <c r="F13" s="20"/>
    </row>
    <row r="14" spans="1:6">
      <c r="A14" s="20"/>
      <c r="B14" s="20"/>
      <c r="C14" s="20"/>
      <c r="D14" s="20"/>
      <c r="E14" s="20"/>
      <c r="F14" s="20"/>
    </row>
  </sheetData>
  <mergeCells count="1">
    <mergeCell ref="A11:F14"/>
  </mergeCells>
  <phoneticPr fontId="11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21"/>
  <sheetViews>
    <sheetView workbookViewId="0"/>
  </sheetViews>
  <sheetFormatPr defaultRowHeight="14.5"/>
  <cols>
    <col min="1" max="1" width="12" customWidth="1"/>
    <col min="2" max="5" width="9" customWidth="1"/>
    <col min="6" max="6" width="3" customWidth="1"/>
    <col min="7" max="7" width="8" customWidth="1"/>
    <col min="8" max="8" width="10" customWidth="1"/>
    <col min="9" max="10" width="11" customWidth="1"/>
    <col min="11" max="11" width="13" customWidth="1"/>
    <col min="12" max="12" width="12" customWidth="1"/>
  </cols>
  <sheetData>
    <row r="1" spans="1:12" ht="20.5">
      <c r="A1" s="1" t="s">
        <v>120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</row>
    <row r="2" spans="1:12" ht="15">
      <c r="A2" s="2" t="s">
        <v>121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 ht="15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</row>
    <row r="4" spans="1:12" ht="15">
      <c r="A4" s="6" t="s">
        <v>122</v>
      </c>
      <c r="B4" s="6" t="s">
        <v>22</v>
      </c>
      <c r="C4" s="6" t="s">
        <v>23</v>
      </c>
      <c r="D4" s="6" t="s">
        <v>24</v>
      </c>
      <c r="E4" s="6" t="s">
        <v>123</v>
      </c>
      <c r="F4" s="3"/>
      <c r="G4" s="10" t="s">
        <v>124</v>
      </c>
      <c r="H4" s="3"/>
      <c r="I4" s="3"/>
      <c r="J4" s="3"/>
      <c r="K4" s="3"/>
      <c r="L4" s="3"/>
    </row>
    <row r="5" spans="1:12" ht="34" customHeight="1">
      <c r="A5" s="7" t="s">
        <v>123</v>
      </c>
      <c r="B5" s="11">
        <f>AVERAGE(成績表!$D$5:$D$34)</f>
        <v>73.8</v>
      </c>
      <c r="C5" s="11">
        <f>AVERAGE(成績表!$E$5:$E$34)</f>
        <v>70</v>
      </c>
      <c r="D5" s="11">
        <f>AVERAGE(成績表!$F$5:$F$34)</f>
        <v>74.900000000000006</v>
      </c>
      <c r="E5" s="11">
        <f>AVERAGE(成績表!$I$5:$I$34)</f>
        <v>72.900000000000006</v>
      </c>
      <c r="F5" s="3"/>
      <c r="G5" s="6" t="s">
        <v>21</v>
      </c>
      <c r="H5" s="6" t="s">
        <v>125</v>
      </c>
      <c r="I5" s="6" t="s">
        <v>126</v>
      </c>
      <c r="J5" s="6" t="s">
        <v>127</v>
      </c>
      <c r="K5" s="6" t="s">
        <v>128</v>
      </c>
      <c r="L5" s="6" t="s">
        <v>129</v>
      </c>
    </row>
    <row r="6" spans="1:12" ht="15">
      <c r="A6" s="7" t="s">
        <v>130</v>
      </c>
      <c r="B6" s="11">
        <f>MEDIAN(成績表!$D$5:$D$34)</f>
        <v>74.5</v>
      </c>
      <c r="C6" s="11">
        <f>MEDIAN(成績表!$E$5:$E$34)</f>
        <v>74.5</v>
      </c>
      <c r="D6" s="11">
        <f>MEDIAN(成績表!$F$5:$F$34)</f>
        <v>73.5</v>
      </c>
      <c r="E6" s="11">
        <f>MEDIAN(成績表!$I$5:$I$34)</f>
        <v>71.650000000000006</v>
      </c>
      <c r="F6" s="3"/>
      <c r="G6" s="7" t="s">
        <v>37</v>
      </c>
      <c r="H6" s="12">
        <f>COUNTIF(成績表!$C$5:$C$34,G6)</f>
        <v>10</v>
      </c>
      <c r="I6" s="12">
        <f>SUMIF(成績表!$C$5:$C$34,G6,成績表!$H$5:$H$34)</f>
        <v>2165</v>
      </c>
      <c r="J6" s="12">
        <f>ROUND(AVERAGEIF(成績表!$C$5:$C$34,G6,成績表!$I$5:$I$34),1)</f>
        <v>72.2</v>
      </c>
      <c r="K6" s="12">
        <f>COUNTIFS(成績表!$C$5:$C$34,G6,成績表!$E$5:$E$34,"&gt;=60")</f>
        <v>7</v>
      </c>
      <c r="L6" s="12">
        <f>COUNTIFS(成績表!$C$5:$C$34,G6,成績表!$J$5:$J$34,"A")</f>
        <v>0</v>
      </c>
    </row>
    <row r="7" spans="1:12" ht="15">
      <c r="A7" s="7" t="s">
        <v>131</v>
      </c>
      <c r="B7" s="13">
        <f>MAX(成績表!$D$5:$D$34)</f>
        <v>100</v>
      </c>
      <c r="C7" s="13">
        <f>MAX(成績表!$E$5:$E$34)</f>
        <v>87</v>
      </c>
      <c r="D7" s="13">
        <f>MAX(成績表!$F$5:$F$34)</f>
        <v>100</v>
      </c>
      <c r="E7" s="13">
        <f>MAX(成績表!$I$5:$I$34)</f>
        <v>95.7</v>
      </c>
      <c r="F7" s="3"/>
      <c r="G7" s="7" t="s">
        <v>40</v>
      </c>
      <c r="H7" s="12">
        <f>COUNTIF(成績表!$C$5:$C$34,G7)</f>
        <v>10</v>
      </c>
      <c r="I7" s="12">
        <f>SUMIF(成績表!$C$5:$C$34,G7,成績表!$H$5:$H$34)</f>
        <v>2371</v>
      </c>
      <c r="J7" s="12">
        <f>ROUND(AVERAGEIF(成績表!$C$5:$C$34,G7,成績表!$I$5:$I$34),1)</f>
        <v>79</v>
      </c>
      <c r="K7" s="12">
        <f>COUNTIFS(成績表!$C$5:$C$34,G7,成績表!$E$5:$E$34,"&gt;=60")</f>
        <v>9</v>
      </c>
      <c r="L7" s="12">
        <f>COUNTIFS(成績表!$C$5:$C$34,G7,成績表!$J$5:$J$34,"A")</f>
        <v>2</v>
      </c>
    </row>
    <row r="8" spans="1:12" ht="15">
      <c r="A8" s="7" t="s">
        <v>132</v>
      </c>
      <c r="B8" s="13">
        <f>MIN(成績表!$D$5:$D$34)</f>
        <v>45</v>
      </c>
      <c r="C8" s="13">
        <f>MIN(成績表!$E$5:$E$34)</f>
        <v>44</v>
      </c>
      <c r="D8" s="13">
        <f>MIN(成績表!$F$5:$F$34)</f>
        <v>42</v>
      </c>
      <c r="E8" s="13">
        <f>MIN(成績表!$I$5:$I$34)</f>
        <v>48.3</v>
      </c>
      <c r="F8" s="3"/>
      <c r="G8" s="7" t="s">
        <v>43</v>
      </c>
      <c r="H8" s="12">
        <f>COUNTIF(成績表!$C$5:$C$34,G8)</f>
        <v>10</v>
      </c>
      <c r="I8" s="12">
        <f>SUMIF(成績表!$C$5:$C$34,G8,成績表!$H$5:$H$34)</f>
        <v>2025</v>
      </c>
      <c r="J8" s="12">
        <f>ROUND(AVERAGEIF(成績表!$C$5:$C$34,G8,成績表!$I$5:$I$34),1)</f>
        <v>67.5</v>
      </c>
      <c r="K8" s="12">
        <f>COUNTIFS(成績表!$C$5:$C$34,G8,成績表!$E$5:$E$34,"&gt;=60")</f>
        <v>7</v>
      </c>
      <c r="L8" s="12">
        <f>COUNTIFS(成績表!$C$5:$C$34,G8,成績表!$J$5:$J$34,"A")</f>
        <v>1</v>
      </c>
    </row>
    <row r="9" spans="1:12" ht="15">
      <c r="A9" s="7" t="s">
        <v>133</v>
      </c>
      <c r="B9" s="11">
        <f>STDEV(成績表!$D$5:$D$34)</f>
        <v>15.223393975652428</v>
      </c>
      <c r="C9" s="11">
        <f>STDEV(成績表!$E$5:$E$34)</f>
        <v>12.966801110315634</v>
      </c>
      <c r="D9" s="11">
        <f>STDEV(成績表!$F$5:$F$34)</f>
        <v>14.348735376211804</v>
      </c>
      <c r="E9" s="11">
        <f>STDEV(成績表!$I$5:$I$34)</f>
        <v>12.130980572697887</v>
      </c>
      <c r="F9" s="3"/>
      <c r="G9" s="3"/>
      <c r="H9" s="3"/>
      <c r="I9" s="3"/>
      <c r="J9" s="3"/>
      <c r="K9" s="3"/>
      <c r="L9" s="3"/>
    </row>
    <row r="10" spans="1:12" ht="15">
      <c r="A10" s="7" t="s">
        <v>134</v>
      </c>
      <c r="B10" s="13">
        <f>COUNTIF(成績表!$D$5:$D$34,"&gt;=60")</f>
        <v>25</v>
      </c>
      <c r="C10" s="13">
        <f>COUNTIF(成績表!$E$5:$E$34,"&gt;=60")</f>
        <v>23</v>
      </c>
      <c r="D10" s="13">
        <f>COUNTIF(成績表!$F$5:$F$34,"&gt;=60")</f>
        <v>26</v>
      </c>
      <c r="E10" s="13">
        <f>COUNTIF(成績表!$I$5:$I$34,"&gt;=60")</f>
        <v>26</v>
      </c>
      <c r="F10" s="3"/>
      <c r="G10" s="3"/>
      <c r="H10" s="3"/>
      <c r="I10" s="3"/>
      <c r="J10" s="3"/>
      <c r="K10" s="3"/>
      <c r="L10" s="3"/>
    </row>
    <row r="11" spans="1:12" ht="15">
      <c r="A11" s="7" t="s">
        <v>135</v>
      </c>
      <c r="B11" s="13">
        <f>COUNTIF(成績表!$D$5:$D$34,"&lt;60")</f>
        <v>5</v>
      </c>
      <c r="C11" s="13">
        <f>COUNTIF(成績表!$E$5:$E$34,"&lt;60")</f>
        <v>7</v>
      </c>
      <c r="D11" s="13">
        <f>COUNTIF(成績表!$F$5:$F$34,"&lt;60")</f>
        <v>4</v>
      </c>
      <c r="E11" s="13">
        <f>COUNTIF(成績表!$I$5:$I$34,"&lt;60")</f>
        <v>4</v>
      </c>
      <c r="F11" s="3"/>
      <c r="G11" s="3"/>
      <c r="H11" s="3"/>
      <c r="I11" s="3"/>
      <c r="J11" s="3"/>
      <c r="K11" s="3"/>
      <c r="L11" s="3"/>
    </row>
    <row r="12" spans="1:12" ht="15">
      <c r="A12" s="7" t="s">
        <v>136</v>
      </c>
      <c r="B12" s="14">
        <f>COUNTIF(成績表!$D$5:$D$34,"&gt;=60")/COUNT(成績表!$D$5:$D$34)</f>
        <v>0.83333333333333337</v>
      </c>
      <c r="C12" s="14">
        <f>COUNTIF(成績表!$E$5:$E$34,"&gt;=60")/COUNT(成績表!$E$5:$E$34)</f>
        <v>0.76666666666666672</v>
      </c>
      <c r="D12" s="14">
        <f>COUNTIF(成績表!$F$5:$F$34,"&gt;=60")/COUNT(成績表!$F$5:$F$34)</f>
        <v>0.8666666666666667</v>
      </c>
      <c r="E12" s="14">
        <f>COUNTIF(成績表!$I$5:$I$34,"&gt;=60")/COUNT(成績表!$I$5:$I$34)</f>
        <v>0.8666666666666667</v>
      </c>
      <c r="F12" s="3"/>
      <c r="G12" s="3"/>
      <c r="H12" s="3"/>
      <c r="I12" s="3"/>
      <c r="J12" s="3"/>
      <c r="K12" s="3"/>
      <c r="L12" s="3"/>
    </row>
    <row r="13" spans="1:12" ht="15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 ht="15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 ht="15">
      <c r="A15" s="10" t="s">
        <v>137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 ht="15">
      <c r="A16" s="6" t="s">
        <v>101</v>
      </c>
      <c r="B16" s="6" t="s">
        <v>138</v>
      </c>
      <c r="C16" s="6" t="s">
        <v>139</v>
      </c>
      <c r="D16" s="3"/>
      <c r="E16" s="3"/>
      <c r="F16" s="3"/>
      <c r="G16" s="3"/>
      <c r="H16" s="3"/>
      <c r="I16" s="3"/>
      <c r="J16" s="3"/>
      <c r="K16" s="3"/>
      <c r="L16" s="3"/>
    </row>
    <row r="17" spans="1:12" ht="15">
      <c r="A17" s="7" t="s">
        <v>116</v>
      </c>
      <c r="B17" s="12">
        <f>COUNTIF(成績表!$J$5:$J$34,A17)</f>
        <v>3</v>
      </c>
      <c r="C17" s="14">
        <f>B17/SUM($B$17:$B$21)</f>
        <v>0.1</v>
      </c>
      <c r="D17" s="3"/>
      <c r="E17" s="3"/>
      <c r="F17" s="3"/>
      <c r="G17" s="3"/>
      <c r="H17" s="3"/>
      <c r="I17" s="3"/>
      <c r="J17" s="3"/>
      <c r="K17" s="3"/>
      <c r="L17" s="3"/>
    </row>
    <row r="18" spans="1:12" ht="15">
      <c r="A18" s="7" t="s">
        <v>113</v>
      </c>
      <c r="B18" s="12">
        <f>COUNTIF(成績表!$J$5:$J$34,A18)</f>
        <v>7</v>
      </c>
      <c r="C18" s="14">
        <f>B18/SUM($B$17:$B$21)</f>
        <v>0.23333333333333334</v>
      </c>
      <c r="D18" s="3"/>
      <c r="E18" s="3"/>
      <c r="F18" s="3"/>
      <c r="G18" s="3"/>
      <c r="H18" s="3"/>
      <c r="I18" s="3"/>
      <c r="J18" s="3"/>
      <c r="K18" s="3"/>
      <c r="L18" s="3"/>
    </row>
    <row r="19" spans="1:12" ht="15">
      <c r="A19" s="7" t="s">
        <v>110</v>
      </c>
      <c r="B19" s="12">
        <f>COUNTIF(成績表!$J$5:$J$34,A19)</f>
        <v>10</v>
      </c>
      <c r="C19" s="14">
        <f>B19/SUM($B$17:$B$21)</f>
        <v>0.33333333333333331</v>
      </c>
      <c r="D19" s="3"/>
      <c r="E19" s="3"/>
      <c r="F19" s="3"/>
      <c r="G19" s="3"/>
      <c r="H19" s="3"/>
      <c r="I19" s="3"/>
      <c r="J19" s="3"/>
      <c r="K19" s="3"/>
      <c r="L19" s="3"/>
    </row>
    <row r="20" spans="1:12" ht="15">
      <c r="A20" s="7" t="s">
        <v>107</v>
      </c>
      <c r="B20" s="12">
        <f>COUNTIF(成績表!$J$5:$J$34,A20)</f>
        <v>6</v>
      </c>
      <c r="C20" s="14">
        <f>B20/SUM($B$17:$B$21)</f>
        <v>0.2</v>
      </c>
      <c r="D20" s="3"/>
      <c r="E20" s="3"/>
      <c r="F20" s="3"/>
      <c r="G20" s="3"/>
      <c r="H20" s="3"/>
      <c r="I20" s="3"/>
      <c r="J20" s="3"/>
      <c r="K20" s="3"/>
      <c r="L20" s="3"/>
    </row>
    <row r="21" spans="1:12" ht="15">
      <c r="A21" s="7" t="s">
        <v>104</v>
      </c>
      <c r="B21" s="12">
        <f>COUNTIF(成績表!$J$5:$J$34,A21)</f>
        <v>4</v>
      </c>
      <c r="C21" s="14">
        <f>B21/SUM($B$17:$B$21)</f>
        <v>0.13333333333333333</v>
      </c>
      <c r="D21" s="3"/>
      <c r="E21" s="3"/>
      <c r="F21" s="3"/>
      <c r="G21" s="3"/>
      <c r="H21" s="3"/>
      <c r="I21" s="3"/>
      <c r="J21" s="3"/>
      <c r="K21" s="3"/>
      <c r="L21" s="3"/>
    </row>
  </sheetData>
  <phoneticPr fontId="11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20"/>
  <sheetViews>
    <sheetView workbookViewId="0"/>
  </sheetViews>
  <sheetFormatPr defaultRowHeight="14.5"/>
  <cols>
    <col min="1" max="2" width="16" customWidth="1"/>
    <col min="3" max="3" width="64" customWidth="1"/>
  </cols>
  <sheetData>
    <row r="1" spans="1:3" ht="20.5">
      <c r="A1" s="1" t="s">
        <v>140</v>
      </c>
      <c r="B1" s="3"/>
      <c r="C1" s="3"/>
    </row>
    <row r="2" spans="1:3" ht="15">
      <c r="A2" s="2" t="s">
        <v>141</v>
      </c>
      <c r="B2" s="3"/>
      <c r="C2" s="3"/>
    </row>
    <row r="3" spans="1:3" ht="15">
      <c r="A3" s="3"/>
      <c r="B3" s="3"/>
      <c r="C3" s="3"/>
    </row>
    <row r="4" spans="1:3" ht="17">
      <c r="A4" s="15" t="s">
        <v>142</v>
      </c>
      <c r="B4" s="16" t="s">
        <v>60</v>
      </c>
      <c r="C4" s="3"/>
    </row>
    <row r="5" spans="1:3" ht="15">
      <c r="A5" s="3"/>
      <c r="B5" s="3"/>
      <c r="C5" s="3"/>
    </row>
    <row r="6" spans="1:3">
      <c r="A6" s="6" t="s">
        <v>143</v>
      </c>
      <c r="B6" s="6" t="s">
        <v>144</v>
      </c>
      <c r="C6" s="6" t="s">
        <v>145</v>
      </c>
    </row>
    <row r="7" spans="1:3" ht="15">
      <c r="A7" s="7" t="s">
        <v>20</v>
      </c>
      <c r="B7" s="12" t="str">
        <f>IFERROR(VLOOKUP($B$4,成績表!$A$5:$O$34,2,FALSE),"查無此學號")</f>
        <v>鄭承恩</v>
      </c>
      <c r="C7" s="7" t="s">
        <v>146</v>
      </c>
    </row>
    <row r="8" spans="1:3" ht="15">
      <c r="A8" s="7" t="s">
        <v>21</v>
      </c>
      <c r="B8" s="12" t="str">
        <f>IFERROR(VLOOKUP($B$4,成績表!$A$5:$O$34,3,FALSE),"查無此學號")</f>
        <v>C班</v>
      </c>
      <c r="C8" s="7" t="s">
        <v>147</v>
      </c>
    </row>
    <row r="9" spans="1:3" ht="15">
      <c r="A9" s="7" t="s">
        <v>22</v>
      </c>
      <c r="B9" s="12">
        <f>IFERROR(VLOOKUP($B$4,成績表!$A$5:$O$34,4,FALSE),"查無此學號")</f>
        <v>75</v>
      </c>
      <c r="C9" s="7" t="s">
        <v>148</v>
      </c>
    </row>
    <row r="10" spans="1:3" ht="15">
      <c r="A10" s="7" t="s">
        <v>23</v>
      </c>
      <c r="B10" s="12">
        <f>IFERROR(VLOOKUP($B$4,成績表!$A$5:$O$34,5,FALSE),"查無此學號")</f>
        <v>81</v>
      </c>
      <c r="C10" s="7" t="s">
        <v>149</v>
      </c>
    </row>
    <row r="11" spans="1:3" ht="15">
      <c r="A11" s="7" t="s">
        <v>24</v>
      </c>
      <c r="B11" s="12">
        <f>IFERROR(VLOOKUP($B$4,成績表!$A$5:$O$34,6,FALSE),"查無此學號")</f>
        <v>60</v>
      </c>
      <c r="C11" s="7" t="s">
        <v>150</v>
      </c>
    </row>
    <row r="12" spans="1:3" ht="15">
      <c r="A12" s="7" t="s">
        <v>123</v>
      </c>
      <c r="B12" s="12">
        <f>IFERROR(VLOOKUP($B$4,成績表!$A$5:$O$34,9,FALSE),"查無此學號")</f>
        <v>72</v>
      </c>
      <c r="C12" s="7" t="s">
        <v>151</v>
      </c>
    </row>
    <row r="13" spans="1:3" ht="15">
      <c r="A13" s="7" t="s">
        <v>101</v>
      </c>
      <c r="B13" s="12" t="str">
        <f>IFERROR(VLOOKUP($B$4,成績表!$A$5:$O$34,10,FALSE),"查無此學號")</f>
        <v>C</v>
      </c>
      <c r="C13" s="7" t="s">
        <v>152</v>
      </c>
    </row>
    <row r="14" spans="1:3" ht="15">
      <c r="A14" s="7" t="s">
        <v>153</v>
      </c>
      <c r="B14" s="12">
        <f>IFERROR(VLOOKUP($B$4,成績表!$A$5:$O$34,12,FALSE),"查無此學號")</f>
        <v>15</v>
      </c>
      <c r="C14" s="7" t="s">
        <v>154</v>
      </c>
    </row>
    <row r="15" spans="1:3" ht="15">
      <c r="A15" s="3"/>
      <c r="B15" s="3"/>
      <c r="C15" s="3"/>
    </row>
    <row r="16" spans="1:3" ht="15">
      <c r="A16" s="3"/>
      <c r="B16" s="3"/>
      <c r="C16" s="3"/>
    </row>
    <row r="17" spans="1:3">
      <c r="A17" s="19" t="s">
        <v>155</v>
      </c>
      <c r="B17" s="20"/>
      <c r="C17" s="20"/>
    </row>
    <row r="18" spans="1:3">
      <c r="A18" s="20"/>
      <c r="B18" s="20"/>
      <c r="C18" s="20"/>
    </row>
    <row r="19" spans="1:3">
      <c r="A19" s="20"/>
      <c r="B19" s="20"/>
      <c r="C19" s="20"/>
    </row>
    <row r="20" spans="1:3">
      <c r="A20" s="20"/>
      <c r="B20" s="20"/>
      <c r="C20" s="20"/>
    </row>
  </sheetData>
  <mergeCells count="1">
    <mergeCell ref="A17:C20"/>
  </mergeCells>
  <phoneticPr fontId="11" type="noConversion"/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xr:uid="{00000000-0002-0000-0400-000000000000}">
          <x14:formula1>
            <xm:f>成績表!$A$5:$A$34</xm:f>
          </x14:formula1>
          <xm:sqref>B4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16"/>
  <sheetViews>
    <sheetView workbookViewId="0"/>
  </sheetViews>
  <sheetFormatPr defaultRowHeight="14.5"/>
  <cols>
    <col min="1" max="1" width="10" customWidth="1"/>
    <col min="2" max="2" width="9" customWidth="1"/>
    <col min="3" max="3" width="12" customWidth="1"/>
    <col min="4" max="4" width="9" customWidth="1"/>
    <col min="5" max="5" width="8" customWidth="1"/>
    <col min="6" max="6" width="9" customWidth="1"/>
    <col min="7" max="7" width="12" customWidth="1"/>
    <col min="8" max="8" width="14" customWidth="1"/>
    <col min="9" max="9" width="9" customWidth="1"/>
    <col min="10" max="10" width="10" customWidth="1"/>
  </cols>
  <sheetData>
    <row r="1" spans="1:10" ht="20.5">
      <c r="A1" s="1" t="s">
        <v>156</v>
      </c>
      <c r="B1" s="3"/>
      <c r="C1" s="3"/>
      <c r="D1" s="3"/>
      <c r="E1" s="3"/>
      <c r="F1" s="3"/>
      <c r="G1" s="3"/>
      <c r="H1" s="3"/>
      <c r="I1" s="3"/>
      <c r="J1" s="3"/>
    </row>
    <row r="2" spans="1:10" ht="15">
      <c r="A2" s="2" t="s">
        <v>157</v>
      </c>
      <c r="B2" s="3"/>
      <c r="C2" s="3"/>
      <c r="D2" s="3"/>
      <c r="E2" s="3"/>
      <c r="F2" s="3"/>
      <c r="G2" s="3"/>
      <c r="H2" s="3"/>
      <c r="I2" s="3"/>
      <c r="J2" s="3"/>
    </row>
    <row r="3" spans="1:10" ht="15">
      <c r="A3" s="3"/>
      <c r="B3" s="3"/>
      <c r="C3" s="3"/>
      <c r="D3" s="3"/>
      <c r="E3" s="3"/>
      <c r="F3" s="3"/>
      <c r="G3" s="3"/>
      <c r="H3" s="3"/>
      <c r="I3" s="3"/>
      <c r="J3" s="3"/>
    </row>
    <row r="4" spans="1:10" ht="34" customHeight="1">
      <c r="A4" s="6" t="s">
        <v>19</v>
      </c>
      <c r="B4" s="6" t="s">
        <v>20</v>
      </c>
      <c r="C4" s="6" t="s">
        <v>158</v>
      </c>
      <c r="D4" s="6" t="s">
        <v>159</v>
      </c>
      <c r="E4" s="6" t="s">
        <v>160</v>
      </c>
      <c r="F4" s="6" t="s">
        <v>161</v>
      </c>
      <c r="G4" s="6" t="s">
        <v>162</v>
      </c>
      <c r="H4" s="6" t="s">
        <v>163</v>
      </c>
      <c r="I4" s="6" t="s">
        <v>164</v>
      </c>
      <c r="J4" s="6" t="s">
        <v>165</v>
      </c>
    </row>
    <row r="5" spans="1:10" ht="15">
      <c r="A5" s="7" t="str">
        <f>成績表!A5</f>
        <v>S115001</v>
      </c>
      <c r="B5" s="7" t="str">
        <f>成績表!B5</f>
        <v>王小明</v>
      </c>
      <c r="C5" s="17">
        <v>40730</v>
      </c>
      <c r="D5" s="12" t="str">
        <f t="shared" ref="D5:D16" si="0">MID(A5,2,3)</f>
        <v>115</v>
      </c>
      <c r="E5" s="12">
        <f t="shared" ref="E5:E16" si="1">VALUE(RIGHT(A5,3))</f>
        <v>1</v>
      </c>
      <c r="F5" s="12">
        <f t="shared" ref="F5:F16" si="2">LEN(B5)</f>
        <v>3</v>
      </c>
      <c r="G5" s="12" t="str">
        <f t="shared" ref="G5:G16" si="3">B5&amp;"同學"</f>
        <v>王小明同學</v>
      </c>
      <c r="H5" s="12" t="str">
        <f>TEXT(成績表!I5/100,"0.0%")</f>
        <v>80.7%</v>
      </c>
      <c r="I5" s="12">
        <f t="shared" ref="I5:I16" ca="1" si="4">DATEDIF(C5,TODAY(),"Y")</f>
        <v>15</v>
      </c>
      <c r="J5" s="12">
        <f t="shared" ref="J5:J16" si="5">MONTH(C5)</f>
        <v>7</v>
      </c>
    </row>
    <row r="6" spans="1:10" ht="15">
      <c r="A6" s="7" t="str">
        <f>成績表!A6</f>
        <v>S115002</v>
      </c>
      <c r="B6" s="7" t="str">
        <f>成績表!B6</f>
        <v>林小華</v>
      </c>
      <c r="C6" s="17">
        <v>40674</v>
      </c>
      <c r="D6" s="12" t="str">
        <f t="shared" si="0"/>
        <v>115</v>
      </c>
      <c r="E6" s="12">
        <f t="shared" si="1"/>
        <v>2</v>
      </c>
      <c r="F6" s="12">
        <f t="shared" si="2"/>
        <v>3</v>
      </c>
      <c r="G6" s="12" t="str">
        <f t="shared" si="3"/>
        <v>林小華同學</v>
      </c>
      <c r="H6" s="12" t="str">
        <f>TEXT(成績表!I6/100,"0.0%")</f>
        <v>70.3%</v>
      </c>
      <c r="I6" s="12">
        <f t="shared" ca="1" si="4"/>
        <v>15</v>
      </c>
      <c r="J6" s="12">
        <f t="shared" si="5"/>
        <v>5</v>
      </c>
    </row>
    <row r="7" spans="1:10" ht="15">
      <c r="A7" s="7" t="str">
        <f>成績表!A7</f>
        <v>S115003</v>
      </c>
      <c r="B7" s="7" t="str">
        <f>成績表!B7</f>
        <v>陳美美</v>
      </c>
      <c r="C7" s="17">
        <v>40653</v>
      </c>
      <c r="D7" s="12" t="str">
        <f t="shared" si="0"/>
        <v>115</v>
      </c>
      <c r="E7" s="12">
        <f t="shared" si="1"/>
        <v>3</v>
      </c>
      <c r="F7" s="12">
        <f t="shared" si="2"/>
        <v>3</v>
      </c>
      <c r="G7" s="12" t="str">
        <f t="shared" si="3"/>
        <v>陳美美同學</v>
      </c>
      <c r="H7" s="12" t="str">
        <f>TEXT(成績表!I7/100,"0.0%")</f>
        <v>83.3%</v>
      </c>
      <c r="I7" s="12">
        <f t="shared" ca="1" si="4"/>
        <v>15</v>
      </c>
      <c r="J7" s="12">
        <f t="shared" si="5"/>
        <v>4</v>
      </c>
    </row>
    <row r="8" spans="1:10" ht="15">
      <c r="A8" s="7" t="str">
        <f>成績表!A8</f>
        <v>S115004</v>
      </c>
      <c r="B8" s="7" t="str">
        <f>成績表!B8</f>
        <v>張大偉</v>
      </c>
      <c r="C8" s="17">
        <v>40626</v>
      </c>
      <c r="D8" s="12" t="str">
        <f t="shared" si="0"/>
        <v>115</v>
      </c>
      <c r="E8" s="12">
        <f t="shared" si="1"/>
        <v>4</v>
      </c>
      <c r="F8" s="12">
        <f t="shared" si="2"/>
        <v>3</v>
      </c>
      <c r="G8" s="12" t="str">
        <f t="shared" si="3"/>
        <v>張大偉同學</v>
      </c>
      <c r="H8" s="12" t="str">
        <f>TEXT(成績表!I8/100,"0.0%")</f>
        <v>87.0%</v>
      </c>
      <c r="I8" s="12">
        <f t="shared" ca="1" si="4"/>
        <v>15</v>
      </c>
      <c r="J8" s="12">
        <f t="shared" si="5"/>
        <v>3</v>
      </c>
    </row>
    <row r="9" spans="1:10" ht="15">
      <c r="A9" s="7" t="str">
        <f>成績表!A9</f>
        <v>S115005</v>
      </c>
      <c r="B9" s="7" t="str">
        <f>成績表!B9</f>
        <v>李佳穎</v>
      </c>
      <c r="C9" s="17">
        <v>40462</v>
      </c>
      <c r="D9" s="12" t="str">
        <f t="shared" si="0"/>
        <v>115</v>
      </c>
      <c r="E9" s="12">
        <f t="shared" si="1"/>
        <v>5</v>
      </c>
      <c r="F9" s="12">
        <f t="shared" si="2"/>
        <v>3</v>
      </c>
      <c r="G9" s="12" t="str">
        <f t="shared" si="3"/>
        <v>李佳穎同學</v>
      </c>
      <c r="H9" s="12" t="str">
        <f>TEXT(成績表!I9/100,"0.0%")</f>
        <v>95.7%</v>
      </c>
      <c r="I9" s="12">
        <f t="shared" ca="1" si="4"/>
        <v>16</v>
      </c>
      <c r="J9" s="12">
        <f t="shared" si="5"/>
        <v>10</v>
      </c>
    </row>
    <row r="10" spans="1:10" ht="15">
      <c r="A10" s="7" t="str">
        <f>成績表!A10</f>
        <v>S115006</v>
      </c>
      <c r="B10" s="7" t="str">
        <f>成績表!B10</f>
        <v>黃志豪</v>
      </c>
      <c r="C10" s="17">
        <v>40495</v>
      </c>
      <c r="D10" s="12" t="str">
        <f t="shared" si="0"/>
        <v>115</v>
      </c>
      <c r="E10" s="12">
        <f t="shared" si="1"/>
        <v>6</v>
      </c>
      <c r="F10" s="12">
        <f t="shared" si="2"/>
        <v>3</v>
      </c>
      <c r="G10" s="12" t="str">
        <f t="shared" si="3"/>
        <v>黃志豪同學</v>
      </c>
      <c r="H10" s="12" t="str">
        <f>TEXT(成績表!I10/100,"0.0%")</f>
        <v>70.3%</v>
      </c>
      <c r="I10" s="12">
        <f t="shared" ca="1" si="4"/>
        <v>15</v>
      </c>
      <c r="J10" s="12">
        <f t="shared" si="5"/>
        <v>11</v>
      </c>
    </row>
    <row r="11" spans="1:10" ht="15">
      <c r="A11" s="7" t="str">
        <f>成績表!A11</f>
        <v>S115007</v>
      </c>
      <c r="B11" s="7" t="str">
        <f>成績表!B11</f>
        <v>吳雅婷</v>
      </c>
      <c r="C11" s="17">
        <v>40639</v>
      </c>
      <c r="D11" s="12" t="str">
        <f t="shared" si="0"/>
        <v>115</v>
      </c>
      <c r="E11" s="12">
        <f t="shared" si="1"/>
        <v>7</v>
      </c>
      <c r="F11" s="12">
        <f t="shared" si="2"/>
        <v>3</v>
      </c>
      <c r="G11" s="12" t="str">
        <f t="shared" si="3"/>
        <v>吳雅婷同學</v>
      </c>
      <c r="H11" s="12" t="str">
        <f>TEXT(成績表!I11/100,"0.0%")</f>
        <v>86.3%</v>
      </c>
      <c r="I11" s="12">
        <f t="shared" ca="1" si="4"/>
        <v>15</v>
      </c>
      <c r="J11" s="12">
        <f t="shared" si="5"/>
        <v>4</v>
      </c>
    </row>
    <row r="12" spans="1:10" ht="15">
      <c r="A12" s="7" t="str">
        <f>成績表!A12</f>
        <v>S115008</v>
      </c>
      <c r="B12" s="7" t="str">
        <f>成績表!B12</f>
        <v>劉宇軒</v>
      </c>
      <c r="C12" s="17">
        <v>40640</v>
      </c>
      <c r="D12" s="12" t="str">
        <f t="shared" si="0"/>
        <v>115</v>
      </c>
      <c r="E12" s="12">
        <f t="shared" si="1"/>
        <v>8</v>
      </c>
      <c r="F12" s="12">
        <f t="shared" si="2"/>
        <v>3</v>
      </c>
      <c r="G12" s="12" t="str">
        <f t="shared" si="3"/>
        <v>劉宇軒同學</v>
      </c>
      <c r="H12" s="12" t="str">
        <f>TEXT(成績表!I12/100,"0.0%")</f>
        <v>59.3%</v>
      </c>
      <c r="I12" s="12">
        <f t="shared" ca="1" si="4"/>
        <v>15</v>
      </c>
      <c r="J12" s="12">
        <f t="shared" si="5"/>
        <v>4</v>
      </c>
    </row>
    <row r="13" spans="1:10" ht="15">
      <c r="A13" s="7" t="str">
        <f>成績表!A13</f>
        <v>S115009</v>
      </c>
      <c r="B13" s="7" t="str">
        <f>成績表!B13</f>
        <v>蔡欣怡</v>
      </c>
      <c r="C13" s="17">
        <v>40638</v>
      </c>
      <c r="D13" s="12" t="str">
        <f t="shared" si="0"/>
        <v>115</v>
      </c>
      <c r="E13" s="12">
        <f t="shared" si="1"/>
        <v>9</v>
      </c>
      <c r="F13" s="12">
        <f t="shared" si="2"/>
        <v>3</v>
      </c>
      <c r="G13" s="12" t="str">
        <f t="shared" si="3"/>
        <v>蔡欣怡同學</v>
      </c>
      <c r="H13" s="12" t="str">
        <f>TEXT(成績表!I13/100,"0.0%")</f>
        <v>52.0%</v>
      </c>
      <c r="I13" s="12">
        <f t="shared" ca="1" si="4"/>
        <v>15</v>
      </c>
      <c r="J13" s="12">
        <f t="shared" si="5"/>
        <v>4</v>
      </c>
    </row>
    <row r="14" spans="1:10" ht="15">
      <c r="A14" s="7" t="str">
        <f>成績表!A14</f>
        <v>S115010</v>
      </c>
      <c r="B14" s="7" t="str">
        <f>成績表!B14</f>
        <v>楊冠廷</v>
      </c>
      <c r="C14" s="17">
        <v>40717</v>
      </c>
      <c r="D14" s="12" t="str">
        <f t="shared" si="0"/>
        <v>115</v>
      </c>
      <c r="E14" s="12">
        <f t="shared" si="1"/>
        <v>10</v>
      </c>
      <c r="F14" s="12">
        <f t="shared" si="2"/>
        <v>3</v>
      </c>
      <c r="G14" s="12" t="str">
        <f t="shared" si="3"/>
        <v>楊冠廷同學</v>
      </c>
      <c r="H14" s="12" t="str">
        <f>TEXT(成績表!I14/100,"0.0%")</f>
        <v>60.7%</v>
      </c>
      <c r="I14" s="12">
        <f t="shared" ca="1" si="4"/>
        <v>15</v>
      </c>
      <c r="J14" s="12">
        <f t="shared" si="5"/>
        <v>6</v>
      </c>
    </row>
    <row r="15" spans="1:10" ht="15">
      <c r="A15" s="7" t="str">
        <f>成績表!A15</f>
        <v>S115011</v>
      </c>
      <c r="B15" s="7" t="str">
        <f>成績表!B15</f>
        <v>許詩涵</v>
      </c>
      <c r="C15" s="17">
        <v>40741</v>
      </c>
      <c r="D15" s="12" t="str">
        <f t="shared" si="0"/>
        <v>115</v>
      </c>
      <c r="E15" s="12">
        <f t="shared" si="1"/>
        <v>11</v>
      </c>
      <c r="F15" s="12">
        <f t="shared" si="2"/>
        <v>3</v>
      </c>
      <c r="G15" s="12" t="str">
        <f t="shared" si="3"/>
        <v>許詩涵同學</v>
      </c>
      <c r="H15" s="12" t="str">
        <f>TEXT(成績表!I15/100,"0.0%")</f>
        <v>82.3%</v>
      </c>
      <c r="I15" s="12">
        <f t="shared" ca="1" si="4"/>
        <v>15</v>
      </c>
      <c r="J15" s="12">
        <f t="shared" si="5"/>
        <v>7</v>
      </c>
    </row>
    <row r="16" spans="1:10" ht="15">
      <c r="A16" s="7" t="str">
        <f>成績表!A16</f>
        <v>S115012</v>
      </c>
      <c r="B16" s="7" t="str">
        <f>成績表!B16</f>
        <v>鄭承恩</v>
      </c>
      <c r="C16" s="17">
        <v>40485</v>
      </c>
      <c r="D16" s="12" t="str">
        <f t="shared" si="0"/>
        <v>115</v>
      </c>
      <c r="E16" s="12">
        <f t="shared" si="1"/>
        <v>12</v>
      </c>
      <c r="F16" s="12">
        <f t="shared" si="2"/>
        <v>3</v>
      </c>
      <c r="G16" s="12" t="str">
        <f t="shared" si="3"/>
        <v>鄭承恩同學</v>
      </c>
      <c r="H16" s="12" t="str">
        <f>TEXT(成績表!I16/100,"0.0%")</f>
        <v>72.0%</v>
      </c>
      <c r="I16" s="12">
        <f t="shared" ca="1" si="4"/>
        <v>15</v>
      </c>
      <c r="J16" s="12">
        <f t="shared" si="5"/>
        <v>11</v>
      </c>
    </row>
  </sheetData>
  <phoneticPr fontId="11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L94"/>
  <sheetViews>
    <sheetView workbookViewId="0">
      <pane ySplit="4" topLeftCell="A5" activePane="bottomLeft" state="frozen"/>
      <selection pane="bottomLeft"/>
    </sheetView>
  </sheetViews>
  <sheetFormatPr defaultRowHeight="14.5"/>
  <cols>
    <col min="1" max="1" width="10" customWidth="1"/>
    <col min="2" max="2" width="9" customWidth="1"/>
    <col min="3" max="5" width="7" customWidth="1"/>
  </cols>
  <sheetData>
    <row r="1" spans="1:12" ht="20.5">
      <c r="A1" s="1" t="s">
        <v>166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</row>
    <row r="2" spans="1:12" ht="15">
      <c r="A2" s="2" t="s">
        <v>167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 ht="15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</row>
    <row r="4" spans="1:12" ht="15">
      <c r="A4" s="6" t="s">
        <v>19</v>
      </c>
      <c r="B4" s="6" t="s">
        <v>20</v>
      </c>
      <c r="C4" s="6" t="s">
        <v>21</v>
      </c>
      <c r="D4" s="6" t="s">
        <v>168</v>
      </c>
      <c r="E4" s="6" t="s">
        <v>169</v>
      </c>
      <c r="F4" s="3"/>
      <c r="G4" s="19" t="s">
        <v>170</v>
      </c>
      <c r="H4" s="20"/>
      <c r="I4" s="20"/>
      <c r="J4" s="20"/>
      <c r="K4" s="20"/>
      <c r="L4" s="20"/>
    </row>
    <row r="5" spans="1:12" ht="15">
      <c r="A5" s="7" t="s">
        <v>35</v>
      </c>
      <c r="B5" s="7" t="s">
        <v>36</v>
      </c>
      <c r="C5" s="7" t="s">
        <v>37</v>
      </c>
      <c r="D5" s="7" t="s">
        <v>22</v>
      </c>
      <c r="E5" s="7">
        <v>70</v>
      </c>
      <c r="F5" s="3"/>
      <c r="G5" s="20"/>
      <c r="H5" s="20"/>
      <c r="I5" s="20"/>
      <c r="J5" s="20"/>
      <c r="K5" s="20"/>
      <c r="L5" s="20"/>
    </row>
    <row r="6" spans="1:12" ht="15">
      <c r="A6" s="7" t="s">
        <v>35</v>
      </c>
      <c r="B6" s="7" t="s">
        <v>36</v>
      </c>
      <c r="C6" s="7" t="s">
        <v>37</v>
      </c>
      <c r="D6" s="7" t="s">
        <v>23</v>
      </c>
      <c r="E6" s="7">
        <v>81</v>
      </c>
      <c r="F6" s="3"/>
      <c r="G6" s="20"/>
      <c r="H6" s="20"/>
      <c r="I6" s="20"/>
      <c r="J6" s="20"/>
      <c r="K6" s="20"/>
      <c r="L6" s="20"/>
    </row>
    <row r="7" spans="1:12" ht="15">
      <c r="A7" s="7" t="s">
        <v>35</v>
      </c>
      <c r="B7" s="7" t="s">
        <v>36</v>
      </c>
      <c r="C7" s="7" t="s">
        <v>37</v>
      </c>
      <c r="D7" s="7" t="s">
        <v>24</v>
      </c>
      <c r="E7" s="7">
        <v>91</v>
      </c>
      <c r="F7" s="3"/>
      <c r="G7" s="20"/>
      <c r="H7" s="20"/>
      <c r="I7" s="20"/>
      <c r="J7" s="20"/>
      <c r="K7" s="20"/>
      <c r="L7" s="20"/>
    </row>
    <row r="8" spans="1:12" ht="15">
      <c r="A8" s="7" t="s">
        <v>38</v>
      </c>
      <c r="B8" s="7" t="s">
        <v>39</v>
      </c>
      <c r="C8" s="7" t="s">
        <v>40</v>
      </c>
      <c r="D8" s="7" t="s">
        <v>22</v>
      </c>
      <c r="E8" s="7">
        <v>76</v>
      </c>
      <c r="F8" s="3"/>
      <c r="G8" s="20"/>
      <c r="H8" s="20"/>
      <c r="I8" s="20"/>
      <c r="J8" s="20"/>
      <c r="K8" s="20"/>
      <c r="L8" s="20"/>
    </row>
    <row r="9" spans="1:12" ht="15">
      <c r="A9" s="7" t="s">
        <v>38</v>
      </c>
      <c r="B9" s="7" t="s">
        <v>39</v>
      </c>
      <c r="C9" s="7" t="s">
        <v>40</v>
      </c>
      <c r="D9" s="7" t="s">
        <v>23</v>
      </c>
      <c r="E9" s="7">
        <v>62</v>
      </c>
      <c r="F9" s="3"/>
      <c r="G9" s="20"/>
      <c r="H9" s="20"/>
      <c r="I9" s="20"/>
      <c r="J9" s="20"/>
      <c r="K9" s="20"/>
      <c r="L9" s="20"/>
    </row>
    <row r="10" spans="1:12" ht="15">
      <c r="A10" s="7" t="s">
        <v>38</v>
      </c>
      <c r="B10" s="7" t="s">
        <v>39</v>
      </c>
      <c r="C10" s="7" t="s">
        <v>40</v>
      </c>
      <c r="D10" s="7" t="s">
        <v>24</v>
      </c>
      <c r="E10" s="7">
        <v>73</v>
      </c>
      <c r="F10" s="3"/>
      <c r="G10" s="20"/>
      <c r="H10" s="20"/>
      <c r="I10" s="20"/>
      <c r="J10" s="20"/>
      <c r="K10" s="20"/>
      <c r="L10" s="20"/>
    </row>
    <row r="11" spans="1:12" ht="15">
      <c r="A11" s="7" t="s">
        <v>41</v>
      </c>
      <c r="B11" s="7" t="s">
        <v>42</v>
      </c>
      <c r="C11" s="7" t="s">
        <v>43</v>
      </c>
      <c r="D11" s="7" t="s">
        <v>22</v>
      </c>
      <c r="E11" s="7">
        <v>78</v>
      </c>
      <c r="F11" s="3"/>
      <c r="G11" s="20"/>
      <c r="H11" s="20"/>
      <c r="I11" s="20"/>
      <c r="J11" s="20"/>
      <c r="K11" s="20"/>
      <c r="L11" s="20"/>
    </row>
    <row r="12" spans="1:12" ht="15">
      <c r="A12" s="7" t="s">
        <v>41</v>
      </c>
      <c r="B12" s="7" t="s">
        <v>42</v>
      </c>
      <c r="C12" s="7" t="s">
        <v>43</v>
      </c>
      <c r="D12" s="7" t="s">
        <v>23</v>
      </c>
      <c r="E12" s="7">
        <v>84</v>
      </c>
      <c r="F12" s="3"/>
      <c r="G12" s="20"/>
      <c r="H12" s="20"/>
      <c r="I12" s="20"/>
      <c r="J12" s="20"/>
      <c r="K12" s="20"/>
      <c r="L12" s="20"/>
    </row>
    <row r="13" spans="1:12" ht="15">
      <c r="A13" s="7" t="s">
        <v>41</v>
      </c>
      <c r="B13" s="7" t="s">
        <v>42</v>
      </c>
      <c r="C13" s="7" t="s">
        <v>43</v>
      </c>
      <c r="D13" s="7" t="s">
        <v>24</v>
      </c>
      <c r="E13" s="7">
        <v>88</v>
      </c>
      <c r="F13" s="3"/>
      <c r="G13" s="20"/>
      <c r="H13" s="20"/>
      <c r="I13" s="20"/>
      <c r="J13" s="20"/>
      <c r="K13" s="20"/>
      <c r="L13" s="20"/>
    </row>
    <row r="14" spans="1:12" ht="15">
      <c r="A14" s="7" t="s">
        <v>44</v>
      </c>
      <c r="B14" s="7" t="s">
        <v>45</v>
      </c>
      <c r="C14" s="7" t="s">
        <v>37</v>
      </c>
      <c r="D14" s="7" t="s">
        <v>22</v>
      </c>
      <c r="E14" s="7">
        <v>93</v>
      </c>
      <c r="F14" s="3"/>
      <c r="G14" s="20"/>
      <c r="H14" s="20"/>
      <c r="I14" s="20"/>
      <c r="J14" s="20"/>
      <c r="K14" s="20"/>
      <c r="L14" s="20"/>
    </row>
    <row r="15" spans="1:12" ht="15">
      <c r="A15" s="7" t="s">
        <v>44</v>
      </c>
      <c r="B15" s="7" t="s">
        <v>45</v>
      </c>
      <c r="C15" s="7" t="s">
        <v>37</v>
      </c>
      <c r="D15" s="7" t="s">
        <v>23</v>
      </c>
      <c r="E15" s="7">
        <v>78</v>
      </c>
      <c r="F15" s="3"/>
      <c r="G15" s="3"/>
      <c r="H15" s="3"/>
      <c r="I15" s="3"/>
      <c r="J15" s="3"/>
      <c r="K15" s="3"/>
      <c r="L15" s="3"/>
    </row>
    <row r="16" spans="1:12" ht="15">
      <c r="A16" s="7" t="s">
        <v>44</v>
      </c>
      <c r="B16" s="7" t="s">
        <v>45</v>
      </c>
      <c r="C16" s="7" t="s">
        <v>37</v>
      </c>
      <c r="D16" s="7" t="s">
        <v>24</v>
      </c>
      <c r="E16" s="7">
        <v>90</v>
      </c>
      <c r="F16" s="3"/>
      <c r="G16" s="3"/>
      <c r="H16" s="3"/>
      <c r="I16" s="3"/>
      <c r="J16" s="3"/>
      <c r="K16" s="3"/>
      <c r="L16" s="3"/>
    </row>
    <row r="17" spans="1:12" ht="15">
      <c r="A17" s="7" t="s">
        <v>46</v>
      </c>
      <c r="B17" s="7" t="s">
        <v>47</v>
      </c>
      <c r="C17" s="7" t="s">
        <v>40</v>
      </c>
      <c r="D17" s="7" t="s">
        <v>22</v>
      </c>
      <c r="E17" s="7">
        <v>100</v>
      </c>
      <c r="F17" s="3"/>
      <c r="G17" s="3"/>
      <c r="H17" s="3"/>
      <c r="I17" s="3"/>
      <c r="J17" s="3"/>
      <c r="K17" s="3"/>
      <c r="L17" s="3"/>
    </row>
    <row r="18" spans="1:12" ht="15">
      <c r="A18" s="7" t="s">
        <v>46</v>
      </c>
      <c r="B18" s="7" t="s">
        <v>47</v>
      </c>
      <c r="C18" s="7" t="s">
        <v>40</v>
      </c>
      <c r="D18" s="7" t="s">
        <v>23</v>
      </c>
      <c r="E18" s="7">
        <v>87</v>
      </c>
      <c r="F18" s="3"/>
      <c r="G18" s="3"/>
      <c r="H18" s="3"/>
      <c r="I18" s="3"/>
      <c r="J18" s="3"/>
      <c r="K18" s="3"/>
      <c r="L18" s="3"/>
    </row>
    <row r="19" spans="1:12" ht="15">
      <c r="A19" s="7" t="s">
        <v>46</v>
      </c>
      <c r="B19" s="7" t="s">
        <v>47</v>
      </c>
      <c r="C19" s="7" t="s">
        <v>40</v>
      </c>
      <c r="D19" s="7" t="s">
        <v>24</v>
      </c>
      <c r="E19" s="7">
        <v>100</v>
      </c>
      <c r="F19" s="3"/>
      <c r="G19" s="3"/>
      <c r="H19" s="3"/>
      <c r="I19" s="3"/>
      <c r="J19" s="3"/>
      <c r="K19" s="3"/>
      <c r="L19" s="3"/>
    </row>
    <row r="20" spans="1:12" ht="15">
      <c r="A20" s="7" t="s">
        <v>48</v>
      </c>
      <c r="B20" s="7" t="s">
        <v>49</v>
      </c>
      <c r="C20" s="7" t="s">
        <v>43</v>
      </c>
      <c r="D20" s="7" t="s">
        <v>22</v>
      </c>
      <c r="E20" s="7">
        <v>73</v>
      </c>
      <c r="F20" s="3"/>
      <c r="G20" s="3"/>
      <c r="H20" s="3"/>
      <c r="I20" s="3"/>
      <c r="J20" s="3"/>
      <c r="K20" s="3"/>
      <c r="L20" s="3"/>
    </row>
    <row r="21" spans="1:12" ht="15">
      <c r="A21" s="7" t="s">
        <v>48</v>
      </c>
      <c r="B21" s="7" t="s">
        <v>49</v>
      </c>
      <c r="C21" s="7" t="s">
        <v>43</v>
      </c>
      <c r="D21" s="7" t="s">
        <v>23</v>
      </c>
      <c r="E21" s="7">
        <v>65</v>
      </c>
      <c r="F21" s="3"/>
      <c r="G21" s="3"/>
      <c r="H21" s="3"/>
      <c r="I21" s="3"/>
      <c r="J21" s="3"/>
      <c r="K21" s="3"/>
      <c r="L21" s="3"/>
    </row>
    <row r="22" spans="1:12" ht="15">
      <c r="A22" s="7" t="s">
        <v>48</v>
      </c>
      <c r="B22" s="7" t="s">
        <v>49</v>
      </c>
      <c r="C22" s="7" t="s">
        <v>43</v>
      </c>
      <c r="D22" s="7" t="s">
        <v>24</v>
      </c>
      <c r="E22" s="7">
        <v>73</v>
      </c>
      <c r="F22" s="3"/>
      <c r="G22" s="3"/>
      <c r="H22" s="3"/>
      <c r="I22" s="3"/>
      <c r="J22" s="3"/>
      <c r="K22" s="3"/>
      <c r="L22" s="3"/>
    </row>
    <row r="23" spans="1:12" ht="15">
      <c r="A23" s="7" t="s">
        <v>50</v>
      </c>
      <c r="B23" s="7" t="s">
        <v>51</v>
      </c>
      <c r="C23" s="7" t="s">
        <v>37</v>
      </c>
      <c r="D23" s="7" t="s">
        <v>22</v>
      </c>
      <c r="E23" s="7">
        <v>89</v>
      </c>
      <c r="F23" s="3"/>
      <c r="G23" s="3"/>
      <c r="H23" s="3"/>
      <c r="I23" s="3"/>
      <c r="J23" s="3"/>
      <c r="K23" s="3"/>
      <c r="L23" s="3"/>
    </row>
    <row r="24" spans="1:12" ht="15">
      <c r="A24" s="7" t="s">
        <v>50</v>
      </c>
      <c r="B24" s="7" t="s">
        <v>51</v>
      </c>
      <c r="C24" s="7" t="s">
        <v>37</v>
      </c>
      <c r="D24" s="7" t="s">
        <v>23</v>
      </c>
      <c r="E24" s="7">
        <v>84</v>
      </c>
      <c r="F24" s="3"/>
      <c r="G24" s="3"/>
      <c r="H24" s="3"/>
      <c r="I24" s="3"/>
      <c r="J24" s="3"/>
      <c r="K24" s="3"/>
      <c r="L24" s="3"/>
    </row>
    <row r="25" spans="1:12" ht="15">
      <c r="A25" s="7" t="s">
        <v>50</v>
      </c>
      <c r="B25" s="7" t="s">
        <v>51</v>
      </c>
      <c r="C25" s="7" t="s">
        <v>37</v>
      </c>
      <c r="D25" s="7" t="s">
        <v>24</v>
      </c>
      <c r="E25" s="7">
        <v>86</v>
      </c>
      <c r="F25" s="3"/>
      <c r="G25" s="3"/>
      <c r="H25" s="3"/>
      <c r="I25" s="3"/>
      <c r="J25" s="3"/>
      <c r="K25" s="3"/>
      <c r="L25" s="3"/>
    </row>
    <row r="26" spans="1:12" ht="15">
      <c r="A26" s="7" t="s">
        <v>52</v>
      </c>
      <c r="B26" s="7" t="s">
        <v>53</v>
      </c>
      <c r="C26" s="7" t="s">
        <v>40</v>
      </c>
      <c r="D26" s="7" t="s">
        <v>22</v>
      </c>
      <c r="E26" s="7">
        <v>76</v>
      </c>
      <c r="F26" s="3"/>
      <c r="G26" s="3"/>
      <c r="H26" s="3"/>
      <c r="I26" s="3"/>
      <c r="J26" s="3"/>
      <c r="K26" s="3"/>
      <c r="L26" s="3"/>
    </row>
    <row r="27" spans="1:12" ht="15">
      <c r="A27" s="7" t="s">
        <v>52</v>
      </c>
      <c r="B27" s="7" t="s">
        <v>53</v>
      </c>
      <c r="C27" s="7" t="s">
        <v>40</v>
      </c>
      <c r="D27" s="7" t="s">
        <v>23</v>
      </c>
      <c r="E27" s="7">
        <v>44</v>
      </c>
      <c r="F27" s="3"/>
      <c r="G27" s="3"/>
      <c r="H27" s="3"/>
      <c r="I27" s="3"/>
      <c r="J27" s="3"/>
      <c r="K27" s="3"/>
      <c r="L27" s="3"/>
    </row>
    <row r="28" spans="1:12" ht="15">
      <c r="A28" s="7" t="s">
        <v>52</v>
      </c>
      <c r="B28" s="7" t="s">
        <v>53</v>
      </c>
      <c r="C28" s="7" t="s">
        <v>40</v>
      </c>
      <c r="D28" s="7" t="s">
        <v>24</v>
      </c>
      <c r="E28" s="7">
        <v>58</v>
      </c>
      <c r="F28" s="3"/>
      <c r="G28" s="3"/>
      <c r="H28" s="3"/>
      <c r="I28" s="3"/>
      <c r="J28" s="3"/>
      <c r="K28" s="3"/>
      <c r="L28" s="3"/>
    </row>
    <row r="29" spans="1:12" ht="15">
      <c r="A29" s="7" t="s">
        <v>54</v>
      </c>
      <c r="B29" s="7" t="s">
        <v>55</v>
      </c>
      <c r="C29" s="7" t="s">
        <v>43</v>
      </c>
      <c r="D29" s="7" t="s">
        <v>22</v>
      </c>
      <c r="E29" s="7">
        <v>49</v>
      </c>
      <c r="F29" s="3"/>
      <c r="G29" s="3"/>
      <c r="H29" s="3"/>
      <c r="I29" s="3"/>
      <c r="J29" s="3"/>
      <c r="K29" s="3"/>
      <c r="L29" s="3"/>
    </row>
    <row r="30" spans="1:12" ht="15">
      <c r="A30" s="7" t="s">
        <v>54</v>
      </c>
      <c r="B30" s="7" t="s">
        <v>55</v>
      </c>
      <c r="C30" s="7" t="s">
        <v>43</v>
      </c>
      <c r="D30" s="7" t="s">
        <v>23</v>
      </c>
      <c r="E30" s="7">
        <v>46</v>
      </c>
      <c r="F30" s="3"/>
      <c r="G30" s="3"/>
      <c r="H30" s="3"/>
      <c r="I30" s="3"/>
      <c r="J30" s="3"/>
      <c r="K30" s="3"/>
      <c r="L30" s="3"/>
    </row>
    <row r="31" spans="1:12" ht="15">
      <c r="A31" s="7" t="s">
        <v>54</v>
      </c>
      <c r="B31" s="7" t="s">
        <v>55</v>
      </c>
      <c r="C31" s="7" t="s">
        <v>43</v>
      </c>
      <c r="D31" s="7" t="s">
        <v>24</v>
      </c>
      <c r="E31" s="7">
        <v>61</v>
      </c>
      <c r="F31" s="3"/>
      <c r="G31" s="3"/>
      <c r="H31" s="3"/>
      <c r="I31" s="3"/>
      <c r="J31" s="3"/>
      <c r="K31" s="3"/>
      <c r="L31" s="3"/>
    </row>
    <row r="32" spans="1:12" ht="15">
      <c r="A32" s="7" t="s">
        <v>56</v>
      </c>
      <c r="B32" s="7" t="s">
        <v>57</v>
      </c>
      <c r="C32" s="7" t="s">
        <v>37</v>
      </c>
      <c r="D32" s="7" t="s">
        <v>22</v>
      </c>
      <c r="E32" s="7">
        <v>62</v>
      </c>
      <c r="F32" s="3"/>
      <c r="G32" s="3"/>
      <c r="H32" s="3"/>
      <c r="I32" s="3"/>
      <c r="J32" s="3"/>
      <c r="K32" s="3"/>
      <c r="L32" s="3"/>
    </row>
    <row r="33" spans="1:12" ht="15">
      <c r="A33" s="7" t="s">
        <v>56</v>
      </c>
      <c r="B33" s="7" t="s">
        <v>57</v>
      </c>
      <c r="C33" s="7" t="s">
        <v>37</v>
      </c>
      <c r="D33" s="7" t="s">
        <v>23</v>
      </c>
      <c r="E33" s="7">
        <v>51</v>
      </c>
      <c r="F33" s="3"/>
      <c r="G33" s="3"/>
      <c r="H33" s="3"/>
      <c r="I33" s="3"/>
      <c r="J33" s="3"/>
      <c r="K33" s="3"/>
      <c r="L33" s="3"/>
    </row>
    <row r="34" spans="1:12" ht="15">
      <c r="A34" s="7" t="s">
        <v>56</v>
      </c>
      <c r="B34" s="7" t="s">
        <v>57</v>
      </c>
      <c r="C34" s="7" t="s">
        <v>37</v>
      </c>
      <c r="D34" s="7" t="s">
        <v>24</v>
      </c>
      <c r="E34" s="7">
        <v>69</v>
      </c>
      <c r="F34" s="3"/>
      <c r="G34" s="3"/>
      <c r="H34" s="3"/>
      <c r="I34" s="3"/>
      <c r="J34" s="3"/>
      <c r="K34" s="3"/>
      <c r="L34" s="3"/>
    </row>
    <row r="35" spans="1:12" ht="15">
      <c r="A35" s="7" t="s">
        <v>58</v>
      </c>
      <c r="B35" s="7" t="s">
        <v>59</v>
      </c>
      <c r="C35" s="7" t="s">
        <v>40</v>
      </c>
      <c r="D35" s="7" t="s">
        <v>22</v>
      </c>
      <c r="E35" s="7">
        <v>91</v>
      </c>
      <c r="F35" s="3"/>
      <c r="G35" s="3"/>
      <c r="H35" s="3"/>
      <c r="I35" s="3"/>
      <c r="J35" s="3"/>
      <c r="K35" s="3"/>
      <c r="L35" s="3"/>
    </row>
    <row r="36" spans="1:12" ht="15">
      <c r="A36" s="7" t="s">
        <v>58</v>
      </c>
      <c r="B36" s="7" t="s">
        <v>59</v>
      </c>
      <c r="C36" s="7" t="s">
        <v>40</v>
      </c>
      <c r="D36" s="7" t="s">
        <v>23</v>
      </c>
      <c r="E36" s="7">
        <v>77</v>
      </c>
      <c r="F36" s="3"/>
      <c r="G36" s="3"/>
      <c r="H36" s="3"/>
      <c r="I36" s="3"/>
      <c r="J36" s="3"/>
      <c r="K36" s="3"/>
      <c r="L36" s="3"/>
    </row>
    <row r="37" spans="1:12" ht="15">
      <c r="A37" s="7" t="s">
        <v>58</v>
      </c>
      <c r="B37" s="7" t="s">
        <v>59</v>
      </c>
      <c r="C37" s="7" t="s">
        <v>40</v>
      </c>
      <c r="D37" s="7" t="s">
        <v>24</v>
      </c>
      <c r="E37" s="7">
        <v>79</v>
      </c>
      <c r="F37" s="3"/>
      <c r="G37" s="3"/>
      <c r="H37" s="3"/>
      <c r="I37" s="3"/>
      <c r="J37" s="3"/>
      <c r="K37" s="3"/>
      <c r="L37" s="3"/>
    </row>
    <row r="38" spans="1:12" ht="15">
      <c r="A38" s="7" t="s">
        <v>60</v>
      </c>
      <c r="B38" s="7" t="s">
        <v>61</v>
      </c>
      <c r="C38" s="7" t="s">
        <v>43</v>
      </c>
      <c r="D38" s="7" t="s">
        <v>22</v>
      </c>
      <c r="E38" s="7">
        <v>75</v>
      </c>
      <c r="F38" s="3"/>
      <c r="G38" s="3"/>
      <c r="H38" s="3"/>
      <c r="I38" s="3"/>
      <c r="J38" s="3"/>
      <c r="K38" s="3"/>
      <c r="L38" s="3"/>
    </row>
    <row r="39" spans="1:12" ht="15">
      <c r="A39" s="7" t="s">
        <v>60</v>
      </c>
      <c r="B39" s="7" t="s">
        <v>61</v>
      </c>
      <c r="C39" s="7" t="s">
        <v>43</v>
      </c>
      <c r="D39" s="7" t="s">
        <v>23</v>
      </c>
      <c r="E39" s="7">
        <v>81</v>
      </c>
      <c r="F39" s="3"/>
      <c r="G39" s="3"/>
      <c r="H39" s="3"/>
      <c r="I39" s="3"/>
      <c r="J39" s="3"/>
      <c r="K39" s="3"/>
      <c r="L39" s="3"/>
    </row>
    <row r="40" spans="1:12" ht="15">
      <c r="A40" s="7" t="s">
        <v>60</v>
      </c>
      <c r="B40" s="7" t="s">
        <v>61</v>
      </c>
      <c r="C40" s="7" t="s">
        <v>43</v>
      </c>
      <c r="D40" s="7" t="s">
        <v>24</v>
      </c>
      <c r="E40" s="7">
        <v>60</v>
      </c>
      <c r="F40" s="3"/>
      <c r="G40" s="3"/>
      <c r="H40" s="3"/>
      <c r="I40" s="3"/>
      <c r="J40" s="3"/>
      <c r="K40" s="3"/>
      <c r="L40" s="3"/>
    </row>
    <row r="41" spans="1:12" ht="15">
      <c r="A41" s="7" t="s">
        <v>62</v>
      </c>
      <c r="B41" s="7" t="s">
        <v>63</v>
      </c>
      <c r="C41" s="7" t="s">
        <v>37</v>
      </c>
      <c r="D41" s="7" t="s">
        <v>22</v>
      </c>
      <c r="E41" s="7">
        <v>47</v>
      </c>
      <c r="F41" s="3"/>
      <c r="G41" s="3"/>
      <c r="H41" s="3"/>
      <c r="I41" s="3"/>
      <c r="J41" s="3"/>
      <c r="K41" s="3"/>
      <c r="L41" s="3"/>
    </row>
    <row r="42" spans="1:12" ht="15">
      <c r="A42" s="7" t="s">
        <v>62</v>
      </c>
      <c r="B42" s="7" t="s">
        <v>63</v>
      </c>
      <c r="C42" s="7" t="s">
        <v>37</v>
      </c>
      <c r="D42" s="7" t="s">
        <v>23</v>
      </c>
      <c r="E42" s="7">
        <v>67</v>
      </c>
      <c r="F42" s="3"/>
      <c r="G42" s="3"/>
      <c r="H42" s="3"/>
      <c r="I42" s="3"/>
      <c r="J42" s="3"/>
      <c r="K42" s="3"/>
      <c r="L42" s="3"/>
    </row>
    <row r="43" spans="1:12" ht="15">
      <c r="A43" s="7" t="s">
        <v>62</v>
      </c>
      <c r="B43" s="7" t="s">
        <v>63</v>
      </c>
      <c r="C43" s="7" t="s">
        <v>37</v>
      </c>
      <c r="D43" s="7" t="s">
        <v>24</v>
      </c>
      <c r="E43" s="7">
        <v>77</v>
      </c>
      <c r="F43" s="3"/>
      <c r="G43" s="3"/>
      <c r="H43" s="3"/>
      <c r="I43" s="3"/>
      <c r="J43" s="3"/>
      <c r="K43" s="3"/>
      <c r="L43" s="3"/>
    </row>
    <row r="44" spans="1:12" ht="15">
      <c r="A44" s="7" t="s">
        <v>64</v>
      </c>
      <c r="B44" s="7" t="s">
        <v>65</v>
      </c>
      <c r="C44" s="7" t="s">
        <v>40</v>
      </c>
      <c r="D44" s="7" t="s">
        <v>22</v>
      </c>
      <c r="E44" s="7">
        <v>100</v>
      </c>
      <c r="F44" s="3"/>
      <c r="G44" s="3"/>
      <c r="H44" s="3"/>
      <c r="I44" s="3"/>
      <c r="J44" s="3"/>
      <c r="K44" s="3"/>
      <c r="L44" s="3"/>
    </row>
    <row r="45" spans="1:12" ht="15">
      <c r="A45" s="7" t="s">
        <v>64</v>
      </c>
      <c r="B45" s="7" t="s">
        <v>65</v>
      </c>
      <c r="C45" s="7" t="s">
        <v>40</v>
      </c>
      <c r="D45" s="7" t="s">
        <v>23</v>
      </c>
      <c r="E45" s="7">
        <v>80</v>
      </c>
      <c r="F45" s="3"/>
      <c r="G45" s="3"/>
      <c r="H45" s="3"/>
      <c r="I45" s="3"/>
      <c r="J45" s="3"/>
      <c r="K45" s="3"/>
      <c r="L45" s="3"/>
    </row>
    <row r="46" spans="1:12" ht="15">
      <c r="A46" s="7" t="s">
        <v>64</v>
      </c>
      <c r="B46" s="7" t="s">
        <v>65</v>
      </c>
      <c r="C46" s="7" t="s">
        <v>40</v>
      </c>
      <c r="D46" s="7" t="s">
        <v>24</v>
      </c>
      <c r="E46" s="7">
        <v>92</v>
      </c>
      <c r="F46" s="3"/>
      <c r="G46" s="3"/>
      <c r="H46" s="3"/>
      <c r="I46" s="3"/>
      <c r="J46" s="3"/>
      <c r="K46" s="3"/>
      <c r="L46" s="3"/>
    </row>
    <row r="47" spans="1:12" ht="15">
      <c r="A47" s="7" t="s">
        <v>66</v>
      </c>
      <c r="B47" s="7" t="s">
        <v>67</v>
      </c>
      <c r="C47" s="7" t="s">
        <v>43</v>
      </c>
      <c r="D47" s="7" t="s">
        <v>22</v>
      </c>
      <c r="E47" s="7">
        <v>45</v>
      </c>
      <c r="F47" s="3"/>
      <c r="G47" s="3"/>
      <c r="H47" s="3"/>
      <c r="I47" s="3"/>
      <c r="J47" s="3"/>
      <c r="K47" s="3"/>
      <c r="L47" s="3"/>
    </row>
    <row r="48" spans="1:12" ht="15">
      <c r="A48" s="7" t="s">
        <v>66</v>
      </c>
      <c r="B48" s="7" t="s">
        <v>67</v>
      </c>
      <c r="C48" s="7" t="s">
        <v>43</v>
      </c>
      <c r="D48" s="7" t="s">
        <v>23</v>
      </c>
      <c r="E48" s="7">
        <v>50</v>
      </c>
      <c r="F48" s="3"/>
      <c r="G48" s="3"/>
      <c r="H48" s="3"/>
      <c r="I48" s="3"/>
      <c r="J48" s="3"/>
      <c r="K48" s="3"/>
      <c r="L48" s="3"/>
    </row>
    <row r="49" spans="1:12" ht="15">
      <c r="A49" s="7" t="s">
        <v>66</v>
      </c>
      <c r="B49" s="7" t="s">
        <v>67</v>
      </c>
      <c r="C49" s="7" t="s">
        <v>43</v>
      </c>
      <c r="D49" s="7" t="s">
        <v>24</v>
      </c>
      <c r="E49" s="7">
        <v>50</v>
      </c>
      <c r="F49" s="3"/>
      <c r="G49" s="3"/>
      <c r="H49" s="3"/>
      <c r="I49" s="3"/>
      <c r="J49" s="3"/>
      <c r="K49" s="3"/>
      <c r="L49" s="3"/>
    </row>
    <row r="50" spans="1:12" ht="15">
      <c r="A50" s="7" t="s">
        <v>68</v>
      </c>
      <c r="B50" s="7" t="s">
        <v>69</v>
      </c>
      <c r="C50" s="7" t="s">
        <v>37</v>
      </c>
      <c r="D50" s="7" t="s">
        <v>22</v>
      </c>
      <c r="E50" s="7">
        <v>65</v>
      </c>
      <c r="F50" s="3"/>
      <c r="G50" s="3"/>
      <c r="H50" s="3"/>
      <c r="I50" s="3"/>
      <c r="J50" s="3"/>
      <c r="K50" s="3"/>
      <c r="L50" s="3"/>
    </row>
    <row r="51" spans="1:12" ht="15">
      <c r="A51" s="7" t="s">
        <v>68</v>
      </c>
      <c r="B51" s="7" t="s">
        <v>69</v>
      </c>
      <c r="C51" s="7" t="s">
        <v>37</v>
      </c>
      <c r="D51" s="7" t="s">
        <v>23</v>
      </c>
      <c r="E51" s="7">
        <v>82</v>
      </c>
      <c r="F51" s="3"/>
      <c r="G51" s="3"/>
      <c r="H51" s="3"/>
      <c r="I51" s="3"/>
      <c r="J51" s="3"/>
      <c r="K51" s="3"/>
      <c r="L51" s="3"/>
    </row>
    <row r="52" spans="1:12" ht="15">
      <c r="A52" s="7" t="s">
        <v>68</v>
      </c>
      <c r="B52" s="7" t="s">
        <v>69</v>
      </c>
      <c r="C52" s="7" t="s">
        <v>37</v>
      </c>
      <c r="D52" s="7" t="s">
        <v>24</v>
      </c>
      <c r="E52" s="7">
        <v>59</v>
      </c>
      <c r="F52" s="3"/>
      <c r="G52" s="3"/>
      <c r="H52" s="3"/>
      <c r="I52" s="3"/>
      <c r="J52" s="3"/>
      <c r="K52" s="3"/>
      <c r="L52" s="3"/>
    </row>
    <row r="53" spans="1:12" ht="15">
      <c r="A53" s="7" t="s">
        <v>70</v>
      </c>
      <c r="B53" s="7" t="s">
        <v>71</v>
      </c>
      <c r="C53" s="7" t="s">
        <v>40</v>
      </c>
      <c r="D53" s="7" t="s">
        <v>22</v>
      </c>
      <c r="E53" s="7">
        <v>74</v>
      </c>
      <c r="F53" s="3"/>
      <c r="G53" s="3"/>
      <c r="H53" s="3"/>
      <c r="I53" s="3"/>
      <c r="J53" s="3"/>
      <c r="K53" s="3"/>
      <c r="L53" s="3"/>
    </row>
    <row r="54" spans="1:12" ht="15">
      <c r="A54" s="7" t="s">
        <v>70</v>
      </c>
      <c r="B54" s="7" t="s">
        <v>71</v>
      </c>
      <c r="C54" s="7" t="s">
        <v>40</v>
      </c>
      <c r="D54" s="7" t="s">
        <v>23</v>
      </c>
      <c r="E54" s="7">
        <v>81</v>
      </c>
      <c r="F54" s="3"/>
      <c r="G54" s="3"/>
      <c r="H54" s="3"/>
      <c r="I54" s="3"/>
      <c r="J54" s="3"/>
      <c r="K54" s="3"/>
      <c r="L54" s="3"/>
    </row>
    <row r="55" spans="1:12" ht="15">
      <c r="A55" s="7" t="s">
        <v>70</v>
      </c>
      <c r="B55" s="7" t="s">
        <v>71</v>
      </c>
      <c r="C55" s="7" t="s">
        <v>40</v>
      </c>
      <c r="D55" s="7" t="s">
        <v>24</v>
      </c>
      <c r="E55" s="7">
        <v>91</v>
      </c>
      <c r="F55" s="3"/>
      <c r="G55" s="3"/>
      <c r="H55" s="3"/>
      <c r="I55" s="3"/>
      <c r="J55" s="3"/>
      <c r="K55" s="3"/>
      <c r="L55" s="3"/>
    </row>
    <row r="56" spans="1:12" ht="15">
      <c r="A56" s="7" t="s">
        <v>72</v>
      </c>
      <c r="B56" s="7" t="s">
        <v>73</v>
      </c>
      <c r="C56" s="7" t="s">
        <v>43</v>
      </c>
      <c r="D56" s="7" t="s">
        <v>22</v>
      </c>
      <c r="E56" s="7">
        <v>56</v>
      </c>
      <c r="F56" s="3"/>
      <c r="G56" s="3"/>
      <c r="H56" s="3"/>
      <c r="I56" s="3"/>
      <c r="J56" s="3"/>
      <c r="K56" s="3"/>
      <c r="L56" s="3"/>
    </row>
    <row r="57" spans="1:12" ht="15">
      <c r="A57" s="7" t="s">
        <v>72</v>
      </c>
      <c r="B57" s="7" t="s">
        <v>73</v>
      </c>
      <c r="C57" s="7" t="s">
        <v>43</v>
      </c>
      <c r="D57" s="7" t="s">
        <v>23</v>
      </c>
      <c r="E57" s="7">
        <v>50</v>
      </c>
      <c r="F57" s="3"/>
      <c r="G57" s="3"/>
      <c r="H57" s="3"/>
      <c r="I57" s="3"/>
      <c r="J57" s="3"/>
      <c r="K57" s="3"/>
      <c r="L57" s="3"/>
    </row>
    <row r="58" spans="1:12" ht="15">
      <c r="A58" s="7" t="s">
        <v>72</v>
      </c>
      <c r="B58" s="7" t="s">
        <v>73</v>
      </c>
      <c r="C58" s="7" t="s">
        <v>43</v>
      </c>
      <c r="D58" s="7" t="s">
        <v>24</v>
      </c>
      <c r="E58" s="7">
        <v>65</v>
      </c>
      <c r="F58" s="3"/>
      <c r="G58" s="3"/>
      <c r="H58" s="3"/>
      <c r="I58" s="3"/>
      <c r="J58" s="3"/>
      <c r="K58" s="3"/>
      <c r="L58" s="3"/>
    </row>
    <row r="59" spans="1:12" ht="15">
      <c r="A59" s="7" t="s">
        <v>74</v>
      </c>
      <c r="B59" s="7" t="s">
        <v>75</v>
      </c>
      <c r="C59" s="7" t="s">
        <v>37</v>
      </c>
      <c r="D59" s="7" t="s">
        <v>22</v>
      </c>
      <c r="E59" s="7">
        <v>66</v>
      </c>
      <c r="F59" s="3"/>
      <c r="G59" s="3"/>
      <c r="H59" s="3"/>
      <c r="I59" s="3"/>
      <c r="J59" s="3"/>
      <c r="K59" s="3"/>
      <c r="L59" s="3"/>
    </row>
    <row r="60" spans="1:12" ht="15">
      <c r="A60" s="7" t="s">
        <v>74</v>
      </c>
      <c r="B60" s="7" t="s">
        <v>75</v>
      </c>
      <c r="C60" s="7" t="s">
        <v>37</v>
      </c>
      <c r="D60" s="7" t="s">
        <v>23</v>
      </c>
      <c r="E60" s="7">
        <v>53</v>
      </c>
      <c r="F60" s="3"/>
      <c r="G60" s="3"/>
      <c r="H60" s="3"/>
      <c r="I60" s="3"/>
      <c r="J60" s="3"/>
      <c r="K60" s="3"/>
      <c r="L60" s="3"/>
    </row>
    <row r="61" spans="1:12" ht="15">
      <c r="A61" s="7" t="s">
        <v>74</v>
      </c>
      <c r="B61" s="7" t="s">
        <v>75</v>
      </c>
      <c r="C61" s="7" t="s">
        <v>37</v>
      </c>
      <c r="D61" s="7" t="s">
        <v>24</v>
      </c>
      <c r="E61" s="7">
        <v>62</v>
      </c>
      <c r="F61" s="3"/>
      <c r="G61" s="3"/>
      <c r="H61" s="3"/>
      <c r="I61" s="3"/>
      <c r="J61" s="3"/>
      <c r="K61" s="3"/>
      <c r="L61" s="3"/>
    </row>
    <row r="62" spans="1:12" ht="15">
      <c r="A62" s="7" t="s">
        <v>76</v>
      </c>
      <c r="B62" s="7" t="s">
        <v>77</v>
      </c>
      <c r="C62" s="7" t="s">
        <v>40</v>
      </c>
      <c r="D62" s="7" t="s">
        <v>22</v>
      </c>
      <c r="E62" s="7">
        <v>65</v>
      </c>
      <c r="F62" s="3"/>
      <c r="G62" s="3"/>
      <c r="H62" s="3"/>
      <c r="I62" s="3"/>
      <c r="J62" s="3"/>
      <c r="K62" s="3"/>
      <c r="L62" s="3"/>
    </row>
    <row r="63" spans="1:12" ht="15">
      <c r="A63" s="7" t="s">
        <v>76</v>
      </c>
      <c r="B63" s="7" t="s">
        <v>77</v>
      </c>
      <c r="C63" s="7" t="s">
        <v>40</v>
      </c>
      <c r="D63" s="7" t="s">
        <v>23</v>
      </c>
      <c r="E63" s="7">
        <v>75</v>
      </c>
      <c r="F63" s="3"/>
      <c r="G63" s="3"/>
      <c r="H63" s="3"/>
      <c r="I63" s="3"/>
      <c r="J63" s="3"/>
      <c r="K63" s="3"/>
      <c r="L63" s="3"/>
    </row>
    <row r="64" spans="1:12" ht="15">
      <c r="A64" s="7" t="s">
        <v>76</v>
      </c>
      <c r="B64" s="7" t="s">
        <v>77</v>
      </c>
      <c r="C64" s="7" t="s">
        <v>40</v>
      </c>
      <c r="D64" s="7" t="s">
        <v>24</v>
      </c>
      <c r="E64" s="7">
        <v>74</v>
      </c>
      <c r="F64" s="3"/>
      <c r="G64" s="3"/>
      <c r="H64" s="3"/>
      <c r="I64" s="3"/>
      <c r="J64" s="3"/>
      <c r="K64" s="3"/>
      <c r="L64" s="3"/>
    </row>
    <row r="65" spans="1:12" ht="15">
      <c r="A65" s="7" t="s">
        <v>78</v>
      </c>
      <c r="B65" s="7" t="s">
        <v>79</v>
      </c>
      <c r="C65" s="7" t="s">
        <v>43</v>
      </c>
      <c r="D65" s="7" t="s">
        <v>22</v>
      </c>
      <c r="E65" s="7">
        <v>75</v>
      </c>
      <c r="F65" s="3"/>
      <c r="G65" s="3"/>
      <c r="H65" s="3"/>
      <c r="I65" s="3"/>
      <c r="J65" s="3"/>
      <c r="K65" s="3"/>
      <c r="L65" s="3"/>
    </row>
    <row r="66" spans="1:12" ht="15">
      <c r="A66" s="7" t="s">
        <v>78</v>
      </c>
      <c r="B66" s="7" t="s">
        <v>79</v>
      </c>
      <c r="C66" s="7" t="s">
        <v>43</v>
      </c>
      <c r="D66" s="7" t="s">
        <v>23</v>
      </c>
      <c r="E66" s="7">
        <v>63</v>
      </c>
      <c r="F66" s="3"/>
      <c r="G66" s="3"/>
      <c r="H66" s="3"/>
      <c r="I66" s="3"/>
      <c r="J66" s="3"/>
      <c r="K66" s="3"/>
      <c r="L66" s="3"/>
    </row>
    <row r="67" spans="1:12" ht="15">
      <c r="A67" s="7" t="s">
        <v>78</v>
      </c>
      <c r="B67" s="7" t="s">
        <v>79</v>
      </c>
      <c r="C67" s="7" t="s">
        <v>43</v>
      </c>
      <c r="D67" s="7" t="s">
        <v>24</v>
      </c>
      <c r="E67" s="7">
        <v>73</v>
      </c>
      <c r="F67" s="3"/>
      <c r="G67" s="3"/>
      <c r="H67" s="3"/>
      <c r="I67" s="3"/>
      <c r="J67" s="3"/>
      <c r="K67" s="3"/>
      <c r="L67" s="3"/>
    </row>
    <row r="68" spans="1:12" ht="15">
      <c r="A68" s="7" t="s">
        <v>80</v>
      </c>
      <c r="B68" s="7" t="s">
        <v>81</v>
      </c>
      <c r="C68" s="7" t="s">
        <v>37</v>
      </c>
      <c r="D68" s="7" t="s">
        <v>22</v>
      </c>
      <c r="E68" s="7">
        <v>64</v>
      </c>
      <c r="F68" s="3"/>
      <c r="G68" s="3"/>
      <c r="H68" s="3"/>
      <c r="I68" s="3"/>
      <c r="J68" s="3"/>
      <c r="K68" s="3"/>
      <c r="L68" s="3"/>
    </row>
    <row r="69" spans="1:12" ht="15">
      <c r="A69" s="7" t="s">
        <v>80</v>
      </c>
      <c r="B69" s="7" t="s">
        <v>81</v>
      </c>
      <c r="C69" s="7" t="s">
        <v>37</v>
      </c>
      <c r="D69" s="7" t="s">
        <v>23</v>
      </c>
      <c r="E69" s="7">
        <v>83</v>
      </c>
      <c r="F69" s="3"/>
      <c r="G69" s="3"/>
      <c r="H69" s="3"/>
      <c r="I69" s="3"/>
      <c r="J69" s="3"/>
      <c r="K69" s="3"/>
      <c r="L69" s="3"/>
    </row>
    <row r="70" spans="1:12" ht="15">
      <c r="A70" s="7" t="s">
        <v>80</v>
      </c>
      <c r="B70" s="7" t="s">
        <v>81</v>
      </c>
      <c r="C70" s="7" t="s">
        <v>37</v>
      </c>
      <c r="D70" s="7" t="s">
        <v>24</v>
      </c>
      <c r="E70" s="7">
        <v>80</v>
      </c>
      <c r="F70" s="3"/>
      <c r="G70" s="3"/>
      <c r="H70" s="3"/>
      <c r="I70" s="3"/>
      <c r="J70" s="3"/>
      <c r="K70" s="3"/>
      <c r="L70" s="3"/>
    </row>
    <row r="71" spans="1:12" ht="15">
      <c r="A71" s="7" t="s">
        <v>82</v>
      </c>
      <c r="B71" s="7" t="s">
        <v>83</v>
      </c>
      <c r="C71" s="7" t="s">
        <v>40</v>
      </c>
      <c r="D71" s="7" t="s">
        <v>22</v>
      </c>
      <c r="E71" s="7">
        <v>73</v>
      </c>
      <c r="F71" s="3"/>
      <c r="G71" s="3"/>
      <c r="H71" s="3"/>
      <c r="I71" s="3"/>
      <c r="J71" s="3"/>
      <c r="K71" s="3"/>
      <c r="L71" s="3"/>
    </row>
    <row r="72" spans="1:12" ht="15">
      <c r="A72" s="7" t="s">
        <v>82</v>
      </c>
      <c r="B72" s="7" t="s">
        <v>83</v>
      </c>
      <c r="C72" s="7" t="s">
        <v>40</v>
      </c>
      <c r="D72" s="7" t="s">
        <v>23</v>
      </c>
      <c r="E72" s="7">
        <v>73</v>
      </c>
      <c r="F72" s="3"/>
      <c r="G72" s="3"/>
      <c r="H72" s="3"/>
      <c r="I72" s="3"/>
      <c r="J72" s="3"/>
      <c r="K72" s="3"/>
      <c r="L72" s="3"/>
    </row>
    <row r="73" spans="1:12" ht="15">
      <c r="A73" s="7" t="s">
        <v>82</v>
      </c>
      <c r="B73" s="7" t="s">
        <v>83</v>
      </c>
      <c r="C73" s="7" t="s">
        <v>40</v>
      </c>
      <c r="D73" s="7" t="s">
        <v>24</v>
      </c>
      <c r="E73" s="7">
        <v>78</v>
      </c>
      <c r="F73" s="3"/>
      <c r="G73" s="3"/>
      <c r="H73" s="3"/>
      <c r="I73" s="3"/>
      <c r="J73" s="3"/>
      <c r="K73" s="3"/>
      <c r="L73" s="3"/>
    </row>
    <row r="74" spans="1:12" ht="15">
      <c r="A74" s="7" t="s">
        <v>84</v>
      </c>
      <c r="B74" s="7" t="s">
        <v>85</v>
      </c>
      <c r="C74" s="7" t="s">
        <v>43</v>
      </c>
      <c r="D74" s="7" t="s">
        <v>22</v>
      </c>
      <c r="E74" s="7">
        <v>77</v>
      </c>
      <c r="F74" s="3"/>
      <c r="G74" s="3"/>
      <c r="H74" s="3"/>
      <c r="I74" s="3"/>
      <c r="J74" s="3"/>
      <c r="K74" s="3"/>
      <c r="L74" s="3"/>
    </row>
    <row r="75" spans="1:12" ht="15">
      <c r="A75" s="7" t="s">
        <v>84</v>
      </c>
      <c r="B75" s="7" t="s">
        <v>85</v>
      </c>
      <c r="C75" s="7" t="s">
        <v>43</v>
      </c>
      <c r="D75" s="7" t="s">
        <v>23</v>
      </c>
      <c r="E75" s="7">
        <v>63</v>
      </c>
      <c r="F75" s="3"/>
      <c r="G75" s="3"/>
      <c r="H75" s="3"/>
      <c r="I75" s="3"/>
      <c r="J75" s="3"/>
      <c r="K75" s="3"/>
      <c r="L75" s="3"/>
    </row>
    <row r="76" spans="1:12" ht="15">
      <c r="A76" s="7" t="s">
        <v>84</v>
      </c>
      <c r="B76" s="7" t="s">
        <v>85</v>
      </c>
      <c r="C76" s="7" t="s">
        <v>43</v>
      </c>
      <c r="D76" s="7" t="s">
        <v>24</v>
      </c>
      <c r="E76" s="7">
        <v>42</v>
      </c>
      <c r="F76" s="3"/>
      <c r="G76" s="3"/>
      <c r="H76" s="3"/>
      <c r="I76" s="3"/>
      <c r="J76" s="3"/>
      <c r="K76" s="3"/>
      <c r="L76" s="3"/>
    </row>
    <row r="77" spans="1:12" ht="15">
      <c r="A77" s="7" t="s">
        <v>86</v>
      </c>
      <c r="B77" s="7" t="s">
        <v>87</v>
      </c>
      <c r="C77" s="7" t="s">
        <v>37</v>
      </c>
      <c r="D77" s="7" t="s">
        <v>22</v>
      </c>
      <c r="E77" s="7">
        <v>57</v>
      </c>
      <c r="F77" s="3"/>
      <c r="G77" s="3"/>
      <c r="H77" s="3"/>
      <c r="I77" s="3"/>
      <c r="J77" s="3"/>
      <c r="K77" s="3"/>
      <c r="L77" s="3"/>
    </row>
    <row r="78" spans="1:12" ht="15">
      <c r="A78" s="7" t="s">
        <v>86</v>
      </c>
      <c r="B78" s="7" t="s">
        <v>87</v>
      </c>
      <c r="C78" s="7" t="s">
        <v>37</v>
      </c>
      <c r="D78" s="7" t="s">
        <v>23</v>
      </c>
      <c r="E78" s="7">
        <v>59</v>
      </c>
      <c r="F78" s="3"/>
      <c r="G78" s="3"/>
      <c r="H78" s="3"/>
      <c r="I78" s="3"/>
      <c r="J78" s="3"/>
      <c r="K78" s="3"/>
      <c r="L78" s="3"/>
    </row>
    <row r="79" spans="1:12" ht="15">
      <c r="A79" s="7" t="s">
        <v>86</v>
      </c>
      <c r="B79" s="7" t="s">
        <v>87</v>
      </c>
      <c r="C79" s="7" t="s">
        <v>37</v>
      </c>
      <c r="D79" s="7" t="s">
        <v>24</v>
      </c>
      <c r="E79" s="7">
        <v>73</v>
      </c>
      <c r="F79" s="3"/>
      <c r="G79" s="3"/>
      <c r="H79" s="3"/>
      <c r="I79" s="3"/>
      <c r="J79" s="3"/>
      <c r="K79" s="3"/>
      <c r="L79" s="3"/>
    </row>
    <row r="80" spans="1:12" ht="15">
      <c r="A80" s="7" t="s">
        <v>88</v>
      </c>
      <c r="B80" s="7" t="s">
        <v>89</v>
      </c>
      <c r="C80" s="7" t="s">
        <v>40</v>
      </c>
      <c r="D80" s="7" t="s">
        <v>22</v>
      </c>
      <c r="E80" s="7">
        <v>89</v>
      </c>
      <c r="F80" s="3"/>
      <c r="G80" s="3"/>
      <c r="H80" s="3"/>
      <c r="I80" s="3"/>
      <c r="J80" s="3"/>
      <c r="K80" s="3"/>
      <c r="L80" s="3"/>
    </row>
    <row r="81" spans="1:12" ht="15">
      <c r="A81" s="7" t="s">
        <v>88</v>
      </c>
      <c r="B81" s="7" t="s">
        <v>89</v>
      </c>
      <c r="C81" s="7" t="s">
        <v>40</v>
      </c>
      <c r="D81" s="7" t="s">
        <v>23</v>
      </c>
      <c r="E81" s="7">
        <v>74</v>
      </c>
      <c r="F81" s="3"/>
      <c r="G81" s="3"/>
      <c r="H81" s="3"/>
      <c r="I81" s="3"/>
      <c r="J81" s="3"/>
      <c r="K81" s="3"/>
      <c r="L81" s="3"/>
    </row>
    <row r="82" spans="1:12" ht="15">
      <c r="A82" s="7" t="s">
        <v>88</v>
      </c>
      <c r="B82" s="7" t="s">
        <v>89</v>
      </c>
      <c r="C82" s="7" t="s">
        <v>40</v>
      </c>
      <c r="D82" s="7" t="s">
        <v>24</v>
      </c>
      <c r="E82" s="7">
        <v>69</v>
      </c>
      <c r="F82" s="3"/>
      <c r="G82" s="3"/>
      <c r="H82" s="3"/>
      <c r="I82" s="3"/>
      <c r="J82" s="3"/>
      <c r="K82" s="3"/>
      <c r="L82" s="3"/>
    </row>
    <row r="83" spans="1:12" ht="15">
      <c r="A83" s="7" t="s">
        <v>90</v>
      </c>
      <c r="B83" s="7" t="s">
        <v>91</v>
      </c>
      <c r="C83" s="7" t="s">
        <v>43</v>
      </c>
      <c r="D83" s="7" t="s">
        <v>22</v>
      </c>
      <c r="E83" s="7">
        <v>99</v>
      </c>
      <c r="F83" s="3"/>
      <c r="G83" s="3"/>
      <c r="H83" s="3"/>
      <c r="I83" s="3"/>
      <c r="J83" s="3"/>
      <c r="K83" s="3"/>
      <c r="L83" s="3"/>
    </row>
    <row r="84" spans="1:12" ht="15">
      <c r="A84" s="7" t="s">
        <v>90</v>
      </c>
      <c r="B84" s="7" t="s">
        <v>91</v>
      </c>
      <c r="C84" s="7" t="s">
        <v>43</v>
      </c>
      <c r="D84" s="7" t="s">
        <v>23</v>
      </c>
      <c r="E84" s="7">
        <v>80</v>
      </c>
      <c r="F84" s="3"/>
      <c r="G84" s="3"/>
      <c r="H84" s="3"/>
      <c r="I84" s="3"/>
      <c r="J84" s="3"/>
      <c r="K84" s="3"/>
      <c r="L84" s="3"/>
    </row>
    <row r="85" spans="1:12" ht="15">
      <c r="A85" s="7" t="s">
        <v>90</v>
      </c>
      <c r="B85" s="7" t="s">
        <v>91</v>
      </c>
      <c r="C85" s="7" t="s">
        <v>43</v>
      </c>
      <c r="D85" s="7" t="s">
        <v>24</v>
      </c>
      <c r="E85" s="7">
        <v>93</v>
      </c>
      <c r="F85" s="3"/>
      <c r="G85" s="3"/>
      <c r="H85" s="3"/>
      <c r="I85" s="3"/>
      <c r="J85" s="3"/>
      <c r="K85" s="3"/>
      <c r="L85" s="3"/>
    </row>
    <row r="86" spans="1:12" ht="15">
      <c r="A86" s="7" t="s">
        <v>92</v>
      </c>
      <c r="B86" s="7" t="s">
        <v>93</v>
      </c>
      <c r="C86" s="7" t="s">
        <v>37</v>
      </c>
      <c r="D86" s="7" t="s">
        <v>22</v>
      </c>
      <c r="E86" s="7">
        <v>81</v>
      </c>
      <c r="F86" s="3"/>
      <c r="G86" s="3"/>
      <c r="H86" s="3"/>
      <c r="I86" s="3"/>
      <c r="J86" s="3"/>
      <c r="K86" s="3"/>
      <c r="L86" s="3"/>
    </row>
    <row r="87" spans="1:12" ht="15">
      <c r="A87" s="7" t="s">
        <v>92</v>
      </c>
      <c r="B87" s="7" t="s">
        <v>93</v>
      </c>
      <c r="C87" s="7" t="s">
        <v>37</v>
      </c>
      <c r="D87" s="7" t="s">
        <v>23</v>
      </c>
      <c r="E87" s="7">
        <v>80</v>
      </c>
      <c r="F87" s="3"/>
      <c r="G87" s="3"/>
      <c r="H87" s="3"/>
      <c r="I87" s="3"/>
      <c r="J87" s="3"/>
      <c r="K87" s="3"/>
      <c r="L87" s="3"/>
    </row>
    <row r="88" spans="1:12" ht="15">
      <c r="A88" s="7" t="s">
        <v>92</v>
      </c>
      <c r="B88" s="7" t="s">
        <v>93</v>
      </c>
      <c r="C88" s="7" t="s">
        <v>37</v>
      </c>
      <c r="D88" s="7" t="s">
        <v>24</v>
      </c>
      <c r="E88" s="7">
        <v>66</v>
      </c>
      <c r="F88" s="3"/>
      <c r="G88" s="3"/>
      <c r="H88" s="3"/>
      <c r="I88" s="3"/>
      <c r="J88" s="3"/>
      <c r="K88" s="3"/>
      <c r="L88" s="3"/>
    </row>
    <row r="89" spans="1:12" ht="15">
      <c r="A89" s="7" t="s">
        <v>94</v>
      </c>
      <c r="B89" s="7" t="s">
        <v>95</v>
      </c>
      <c r="C89" s="7" t="s">
        <v>40</v>
      </c>
      <c r="D89" s="7" t="s">
        <v>22</v>
      </c>
      <c r="E89" s="7">
        <v>86</v>
      </c>
      <c r="F89" s="3"/>
      <c r="G89" s="3"/>
      <c r="H89" s="3"/>
      <c r="I89" s="3"/>
      <c r="J89" s="3"/>
      <c r="K89" s="3"/>
      <c r="L89" s="3"/>
    </row>
    <row r="90" spans="1:12" ht="15">
      <c r="A90" s="7" t="s">
        <v>94</v>
      </c>
      <c r="B90" s="7" t="s">
        <v>95</v>
      </c>
      <c r="C90" s="7" t="s">
        <v>40</v>
      </c>
      <c r="D90" s="7" t="s">
        <v>23</v>
      </c>
      <c r="E90" s="7">
        <v>76</v>
      </c>
      <c r="F90" s="3"/>
      <c r="G90" s="3"/>
      <c r="H90" s="3"/>
      <c r="I90" s="3"/>
      <c r="J90" s="3"/>
      <c r="K90" s="3"/>
      <c r="L90" s="3"/>
    </row>
    <row r="91" spans="1:12" ht="15">
      <c r="A91" s="7" t="s">
        <v>94</v>
      </c>
      <c r="B91" s="7" t="s">
        <v>95</v>
      </c>
      <c r="C91" s="7" t="s">
        <v>40</v>
      </c>
      <c r="D91" s="7" t="s">
        <v>24</v>
      </c>
      <c r="E91" s="7">
        <v>98</v>
      </c>
      <c r="F91" s="3"/>
      <c r="G91" s="3"/>
      <c r="H91" s="3"/>
      <c r="I91" s="3"/>
      <c r="J91" s="3"/>
      <c r="K91" s="3"/>
      <c r="L91" s="3"/>
    </row>
    <row r="92" spans="1:12" ht="15">
      <c r="A92" s="7" t="s">
        <v>96</v>
      </c>
      <c r="B92" s="7" t="s">
        <v>97</v>
      </c>
      <c r="C92" s="7" t="s">
        <v>43</v>
      </c>
      <c r="D92" s="7" t="s">
        <v>22</v>
      </c>
      <c r="E92" s="7">
        <v>63</v>
      </c>
      <c r="F92" s="3"/>
      <c r="G92" s="3"/>
      <c r="H92" s="3"/>
      <c r="I92" s="3"/>
      <c r="J92" s="3"/>
      <c r="K92" s="3"/>
      <c r="L92" s="3"/>
    </row>
    <row r="93" spans="1:12" ht="15">
      <c r="A93" s="7" t="s">
        <v>96</v>
      </c>
      <c r="B93" s="7" t="s">
        <v>97</v>
      </c>
      <c r="C93" s="7" t="s">
        <v>43</v>
      </c>
      <c r="D93" s="7" t="s">
        <v>23</v>
      </c>
      <c r="E93" s="7">
        <v>71</v>
      </c>
      <c r="F93" s="3"/>
      <c r="G93" s="3"/>
      <c r="H93" s="3"/>
      <c r="I93" s="3"/>
      <c r="J93" s="3"/>
      <c r="K93" s="3"/>
      <c r="L93" s="3"/>
    </row>
    <row r="94" spans="1:12" ht="15">
      <c r="A94" s="7" t="s">
        <v>96</v>
      </c>
      <c r="B94" s="7" t="s">
        <v>97</v>
      </c>
      <c r="C94" s="7" t="s">
        <v>43</v>
      </c>
      <c r="D94" s="7" t="s">
        <v>24</v>
      </c>
      <c r="E94" s="7">
        <v>77</v>
      </c>
      <c r="F94" s="3"/>
      <c r="G94" s="3"/>
      <c r="H94" s="3"/>
      <c r="I94" s="3"/>
      <c r="J94" s="3"/>
      <c r="K94" s="3"/>
      <c r="L94" s="3"/>
    </row>
  </sheetData>
  <mergeCells count="1">
    <mergeCell ref="G4:L14"/>
  </mergeCells>
  <phoneticPr fontId="11" type="noConversion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8"/>
  <sheetViews>
    <sheetView workbookViewId="0"/>
  </sheetViews>
  <sheetFormatPr defaultRowHeight="14.5"/>
  <cols>
    <col min="1" max="1" width="8" customWidth="1"/>
    <col min="2" max="5" width="9" customWidth="1"/>
  </cols>
  <sheetData>
    <row r="1" spans="1:5" ht="20.5">
      <c r="A1" s="1" t="s">
        <v>171</v>
      </c>
      <c r="B1" s="3"/>
      <c r="C1" s="3"/>
      <c r="D1" s="3"/>
      <c r="E1" s="3"/>
    </row>
    <row r="2" spans="1:5" ht="15">
      <c r="A2" s="2" t="s">
        <v>172</v>
      </c>
      <c r="B2" s="3"/>
      <c r="C2" s="3"/>
      <c r="D2" s="3"/>
      <c r="E2" s="3"/>
    </row>
    <row r="3" spans="1:5" ht="15">
      <c r="A3" s="3"/>
      <c r="B3" s="3"/>
      <c r="C3" s="3"/>
      <c r="D3" s="3"/>
      <c r="E3" s="3"/>
    </row>
    <row r="4" spans="1:5">
      <c r="A4" s="6" t="s">
        <v>21</v>
      </c>
      <c r="B4" s="6" t="s">
        <v>22</v>
      </c>
      <c r="C4" s="6" t="s">
        <v>23</v>
      </c>
      <c r="D4" s="6" t="s">
        <v>24</v>
      </c>
      <c r="E4" s="6" t="s">
        <v>173</v>
      </c>
    </row>
    <row r="5" spans="1:5" ht="15">
      <c r="A5" s="7" t="s">
        <v>37</v>
      </c>
      <c r="B5" s="11">
        <f>AVERAGEIFS(樞紐練習資料!$E$5:$E$94,樞紐練習資料!$C$5:$C$94,$A5,樞紐練習資料!$D$5:$D$94,B$4)</f>
        <v>69.400000000000006</v>
      </c>
      <c r="C5" s="11">
        <f>AVERAGEIFS(樞紐練習資料!$E$5:$E$94,樞紐練習資料!$C$5:$C$94,$A5,樞紐練習資料!$D$5:$D$94,C$4)</f>
        <v>71.8</v>
      </c>
      <c r="D5" s="11">
        <f>AVERAGEIFS(樞紐練習資料!$E$5:$E$94,樞紐練習資料!$C$5:$C$94,$A5,樞紐練習資料!$D$5:$D$94,D$4)</f>
        <v>75.3</v>
      </c>
      <c r="E5" s="11">
        <f>AVERAGEIFS(樞紐練習資料!$E$5:$E$94,樞紐練習資料!$C$5:$C$94,$A5)</f>
        <v>72.166666666666671</v>
      </c>
    </row>
    <row r="6" spans="1:5" ht="15">
      <c r="A6" s="7" t="s">
        <v>40</v>
      </c>
      <c r="B6" s="11">
        <f>AVERAGEIFS(樞紐練習資料!$E$5:$E$94,樞紐練習資料!$C$5:$C$94,$A6,樞紐練習資料!$D$5:$D$94,B$4)</f>
        <v>83</v>
      </c>
      <c r="C6" s="11">
        <f>AVERAGEIFS(樞紐練習資料!$E$5:$E$94,樞紐練習資料!$C$5:$C$94,$A6,樞紐練習資料!$D$5:$D$94,C$4)</f>
        <v>72.900000000000006</v>
      </c>
      <c r="D6" s="11">
        <f>AVERAGEIFS(樞紐練習資料!$E$5:$E$94,樞紐練習資料!$C$5:$C$94,$A6,樞紐練習資料!$D$5:$D$94,D$4)</f>
        <v>81.2</v>
      </c>
      <c r="E6" s="11">
        <f>AVERAGEIFS(樞紐練習資料!$E$5:$E$94,樞紐練習資料!$C$5:$C$94,$A6)</f>
        <v>79.033333333333331</v>
      </c>
    </row>
    <row r="7" spans="1:5" ht="15">
      <c r="A7" s="7" t="s">
        <v>43</v>
      </c>
      <c r="B7" s="11">
        <f>AVERAGEIFS(樞紐練習資料!$E$5:$E$94,樞紐練習資料!$C$5:$C$94,$A7,樞紐練習資料!$D$5:$D$94,B$4)</f>
        <v>69</v>
      </c>
      <c r="C7" s="11">
        <f>AVERAGEIFS(樞紐練習資料!$E$5:$E$94,樞紐練習資料!$C$5:$C$94,$A7,樞紐練習資料!$D$5:$D$94,C$4)</f>
        <v>65.3</v>
      </c>
      <c r="D7" s="11">
        <f>AVERAGEIFS(樞紐練習資料!$E$5:$E$94,樞紐練習資料!$C$5:$C$94,$A7,樞紐練習資料!$D$5:$D$94,D$4)</f>
        <v>68.2</v>
      </c>
      <c r="E7" s="11">
        <f>AVERAGEIFS(樞紐練習資料!$E$5:$E$94,樞紐練習資料!$C$5:$C$94,$A7)</f>
        <v>67.5</v>
      </c>
    </row>
    <row r="8" spans="1:5" ht="15">
      <c r="A8" s="7" t="s">
        <v>173</v>
      </c>
      <c r="B8" s="11">
        <f>AVERAGEIFS(樞紐練習資料!$E$5:$E$94,樞紐練習資料!$D$5:$D$94,B$4)</f>
        <v>73.8</v>
      </c>
      <c r="C8" s="11">
        <f>AVERAGEIFS(樞紐練習資料!$E$5:$E$94,樞紐練習資料!$D$5:$D$94,C$4)</f>
        <v>70</v>
      </c>
      <c r="D8" s="11">
        <f>AVERAGEIFS(樞紐練習資料!$E$5:$E$94,樞紐練習資料!$D$5:$D$94,D$4)</f>
        <v>74.900000000000006</v>
      </c>
      <c r="E8" s="11">
        <f>AVERAGE(樞紐練習資料!$E$5:$E$94)</f>
        <v>72.900000000000006</v>
      </c>
    </row>
  </sheetData>
  <phoneticPr fontId="11" type="noConversion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14"/>
  <sheetViews>
    <sheetView workbookViewId="0"/>
  </sheetViews>
  <sheetFormatPr defaultRowHeight="14.5"/>
  <cols>
    <col min="1" max="1" width="10" customWidth="1"/>
    <col min="2" max="3" width="7" customWidth="1"/>
    <col min="4" max="4" width="10" customWidth="1"/>
  </cols>
  <sheetData>
    <row r="1" spans="1:4" ht="20.5">
      <c r="A1" s="1" t="s">
        <v>174</v>
      </c>
      <c r="B1" s="3"/>
      <c r="C1" s="3"/>
      <c r="D1" s="3"/>
    </row>
    <row r="2" spans="1:4" ht="15">
      <c r="A2" s="2" t="s">
        <v>175</v>
      </c>
      <c r="B2" s="3"/>
      <c r="C2" s="3"/>
      <c r="D2" s="3"/>
    </row>
    <row r="3" spans="1:4" ht="15">
      <c r="A3" s="3"/>
      <c r="B3" s="3"/>
      <c r="C3" s="3"/>
      <c r="D3" s="3"/>
    </row>
    <row r="4" spans="1:4" ht="30" customHeight="1">
      <c r="A4" s="6" t="s">
        <v>176</v>
      </c>
      <c r="B4" s="6" t="s">
        <v>177</v>
      </c>
      <c r="C4" s="6" t="s">
        <v>178</v>
      </c>
      <c r="D4" s="6" t="s">
        <v>179</v>
      </c>
    </row>
    <row r="5" spans="1:4" ht="15">
      <c r="A5" s="7" t="s">
        <v>105</v>
      </c>
      <c r="B5" s="7">
        <v>0</v>
      </c>
      <c r="C5" s="7">
        <v>59.9</v>
      </c>
      <c r="D5" s="12">
        <f>COUNTIFS(成績表!$I$5:$I$34,"&gt;="&amp;B5,成績表!$I$5:$I$34,"&lt;="&amp;C5)</f>
        <v>4</v>
      </c>
    </row>
    <row r="6" spans="1:4" ht="15">
      <c r="A6" s="7" t="s">
        <v>108</v>
      </c>
      <c r="B6" s="7">
        <v>60</v>
      </c>
      <c r="C6" s="7">
        <v>69.900000000000006</v>
      </c>
      <c r="D6" s="12">
        <f>COUNTIFS(成績表!$I$5:$I$34,"&gt;="&amp;B6,成績表!$I$5:$I$34,"&lt;="&amp;C6)</f>
        <v>6</v>
      </c>
    </row>
    <row r="7" spans="1:4" ht="15">
      <c r="A7" s="7" t="s">
        <v>111</v>
      </c>
      <c r="B7" s="7">
        <v>70</v>
      </c>
      <c r="C7" s="7">
        <v>79.900000000000006</v>
      </c>
      <c r="D7" s="12">
        <f>COUNTIFS(成績表!$I$5:$I$34,"&gt;="&amp;B7,成績表!$I$5:$I$34,"&lt;="&amp;C7)</f>
        <v>10</v>
      </c>
    </row>
    <row r="8" spans="1:4" ht="15">
      <c r="A8" s="7" t="s">
        <v>114</v>
      </c>
      <c r="B8" s="7">
        <v>80</v>
      </c>
      <c r="C8" s="7">
        <v>89.9</v>
      </c>
      <c r="D8" s="12">
        <f>COUNTIFS(成績表!$I$5:$I$34,"&gt;="&amp;B8,成績表!$I$5:$I$34,"&lt;="&amp;C8)</f>
        <v>7</v>
      </c>
    </row>
    <row r="9" spans="1:4" ht="15">
      <c r="A9" s="7" t="s">
        <v>117</v>
      </c>
      <c r="B9" s="7">
        <v>90</v>
      </c>
      <c r="C9" s="7">
        <v>100</v>
      </c>
      <c r="D9" s="12">
        <f>COUNTIFS(成績表!$I$5:$I$34,"&gt;="&amp;B9,成績表!$I$5:$I$34,"&lt;="&amp;C9)</f>
        <v>3</v>
      </c>
    </row>
    <row r="10" spans="1:4" ht="15">
      <c r="A10" s="3"/>
      <c r="B10" s="3"/>
      <c r="C10" s="3"/>
      <c r="D10" s="3"/>
    </row>
    <row r="11" spans="1:4" ht="15">
      <c r="A11" s="3"/>
      <c r="B11" s="3"/>
      <c r="C11" s="3"/>
      <c r="D11" s="3"/>
    </row>
    <row r="12" spans="1:4">
      <c r="A12" s="19" t="s">
        <v>180</v>
      </c>
      <c r="B12" s="20"/>
      <c r="C12" s="20"/>
      <c r="D12" s="20"/>
    </row>
    <row r="13" spans="1:4">
      <c r="A13" s="20"/>
      <c r="B13" s="20"/>
      <c r="C13" s="20"/>
      <c r="D13" s="20"/>
    </row>
    <row r="14" spans="1:4">
      <c r="A14" s="20"/>
      <c r="B14" s="20"/>
      <c r="C14" s="20"/>
      <c r="D14" s="20"/>
    </row>
  </sheetData>
  <mergeCells count="1">
    <mergeCell ref="A12:D14"/>
  </mergeCells>
  <phoneticPr fontId="11" type="noConversion"/>
  <pageMargins left="0.75" right="0.75" top="1" bottom="1" header="0.5" footer="0.5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19"/>
  <sheetViews>
    <sheetView workbookViewId="0"/>
  </sheetViews>
  <sheetFormatPr defaultRowHeight="14.5"/>
  <cols>
    <col min="1" max="1" width="10" customWidth="1"/>
    <col min="2" max="2" width="13" customWidth="1"/>
    <col min="3" max="3" width="18" customWidth="1"/>
  </cols>
  <sheetData>
    <row r="1" spans="1:3" ht="20.5">
      <c r="A1" s="1" t="s">
        <v>181</v>
      </c>
      <c r="B1" s="3"/>
      <c r="C1" s="3"/>
    </row>
    <row r="2" spans="1:3" ht="15">
      <c r="A2" s="2" t="s">
        <v>182</v>
      </c>
      <c r="B2" s="3"/>
      <c r="C2" s="3"/>
    </row>
    <row r="3" spans="1:3" ht="15">
      <c r="A3" s="3"/>
      <c r="B3" s="3"/>
      <c r="C3" s="3"/>
    </row>
    <row r="4" spans="1:3" ht="29">
      <c r="A4" s="6" t="s">
        <v>183</v>
      </c>
      <c r="B4" s="6" t="s">
        <v>184</v>
      </c>
      <c r="C4" s="3"/>
    </row>
    <row r="5" spans="1:3" ht="15">
      <c r="A5" s="7">
        <v>1</v>
      </c>
      <c r="B5" s="7">
        <v>66.8</v>
      </c>
      <c r="C5" s="3"/>
    </row>
    <row r="6" spans="1:3" ht="15">
      <c r="A6" s="7">
        <v>2</v>
      </c>
      <c r="B6" s="7">
        <v>68.900000000000006</v>
      </c>
      <c r="C6" s="3"/>
    </row>
    <row r="7" spans="1:3" ht="15">
      <c r="A7" s="7">
        <v>3</v>
      </c>
      <c r="B7" s="7">
        <v>69.5</v>
      </c>
      <c r="C7" s="3"/>
    </row>
    <row r="8" spans="1:3" ht="15">
      <c r="A8" s="7">
        <v>4</v>
      </c>
      <c r="B8" s="7">
        <v>71.8</v>
      </c>
      <c r="C8" s="3"/>
    </row>
    <row r="9" spans="1:3" ht="15">
      <c r="A9" s="7">
        <v>5</v>
      </c>
      <c r="B9" s="7">
        <v>71.2</v>
      </c>
      <c r="C9" s="3"/>
    </row>
    <row r="10" spans="1:3" ht="15">
      <c r="A10" s="7">
        <v>6</v>
      </c>
      <c r="B10" s="7">
        <v>73.599999999999994</v>
      </c>
      <c r="C10" s="3"/>
    </row>
    <row r="11" spans="1:3" ht="15">
      <c r="A11" s="3"/>
      <c r="B11" s="3"/>
      <c r="C11" s="3"/>
    </row>
    <row r="12" spans="1:3" ht="15">
      <c r="A12" s="15">
        <v>7</v>
      </c>
      <c r="B12" s="18">
        <f>ROUND(_xlfn.FORECAST.LINEAR(A12,B5:B10,A5:A10),1)</f>
        <v>74.599999999999994</v>
      </c>
      <c r="C12" s="3" t="s">
        <v>185</v>
      </c>
    </row>
    <row r="13" spans="1:3" ht="15">
      <c r="A13" s="3" t="s">
        <v>186</v>
      </c>
      <c r="B13" s="18">
        <f>ROUND(CORREL(A5:A10,B5:B10),3)</f>
        <v>0.96199999999999997</v>
      </c>
      <c r="C13" s="3"/>
    </row>
    <row r="14" spans="1:3" ht="15">
      <c r="A14" s="3"/>
      <c r="B14" s="3"/>
      <c r="C14" s="3"/>
    </row>
    <row r="15" spans="1:3" ht="15">
      <c r="A15" s="3"/>
      <c r="B15" s="3"/>
      <c r="C15" s="3"/>
    </row>
    <row r="16" spans="1:3">
      <c r="A16" s="19" t="s">
        <v>187</v>
      </c>
      <c r="B16" s="20"/>
      <c r="C16" s="20"/>
    </row>
    <row r="17" spans="1:3">
      <c r="A17" s="20"/>
      <c r="B17" s="20"/>
      <c r="C17" s="20"/>
    </row>
    <row r="18" spans="1:3">
      <c r="A18" s="20"/>
      <c r="B18" s="20"/>
      <c r="C18" s="20"/>
    </row>
    <row r="19" spans="1:3">
      <c r="A19" s="20"/>
      <c r="B19" s="20"/>
      <c r="C19" s="20"/>
    </row>
  </sheetData>
  <mergeCells count="1">
    <mergeCell ref="A16:C19"/>
  </mergeCells>
  <phoneticPr fontId="11" type="noConversion"/>
  <pageMargins left="0.75" right="0.75" top="1" bottom="1" header="0.5" footer="0.5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L34"/>
  <sheetViews>
    <sheetView workbookViewId="0"/>
  </sheetViews>
  <sheetFormatPr defaultRowHeight="14.5"/>
  <cols>
    <col min="1" max="2" width="9" customWidth="1"/>
    <col min="3" max="3" width="8" customWidth="1"/>
    <col min="5" max="5" width="11" customWidth="1"/>
    <col min="6" max="6" width="8" customWidth="1"/>
  </cols>
  <sheetData>
    <row r="1" spans="1:12" ht="20.5">
      <c r="A1" s="1" t="s">
        <v>188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</row>
    <row r="2" spans="1:12" ht="15">
      <c r="A2" s="2" t="s">
        <v>189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 ht="15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</row>
    <row r="4" spans="1:12" ht="29">
      <c r="A4" s="6" t="s">
        <v>20</v>
      </c>
      <c r="B4" s="6" t="s">
        <v>190</v>
      </c>
      <c r="C4" s="6" t="s">
        <v>123</v>
      </c>
      <c r="D4" s="3"/>
      <c r="E4" s="15" t="s">
        <v>191</v>
      </c>
      <c r="F4" s="18">
        <f>ROUND(CORREL(B5:B34,C5:C34),2)</f>
        <v>0.66</v>
      </c>
      <c r="G4" s="3"/>
      <c r="H4" s="3"/>
      <c r="I4" s="3"/>
      <c r="J4" s="3"/>
      <c r="K4" s="3"/>
      <c r="L4" s="3"/>
    </row>
    <row r="5" spans="1:12" ht="15">
      <c r="A5" s="12" t="str">
        <f>成績表!B5</f>
        <v>王小明</v>
      </c>
      <c r="B5" s="12">
        <f>成績表!G5</f>
        <v>29</v>
      </c>
      <c r="C5" s="12">
        <f>成績表!I5</f>
        <v>80.7</v>
      </c>
      <c r="D5" s="3"/>
      <c r="E5" s="3"/>
      <c r="F5" s="3"/>
      <c r="G5" s="3"/>
      <c r="H5" s="3"/>
      <c r="I5" s="3"/>
      <c r="J5" s="3"/>
      <c r="K5" s="3"/>
      <c r="L5" s="3"/>
    </row>
    <row r="6" spans="1:12" ht="15">
      <c r="A6" s="12" t="str">
        <f>成績表!B6</f>
        <v>林小華</v>
      </c>
      <c r="B6" s="12">
        <f>成績表!G6</f>
        <v>26</v>
      </c>
      <c r="C6" s="12">
        <f>成績表!I6</f>
        <v>70.3</v>
      </c>
      <c r="D6" s="3"/>
      <c r="E6" s="3"/>
      <c r="F6" s="3"/>
      <c r="G6" s="3"/>
      <c r="H6" s="3"/>
      <c r="I6" s="3"/>
      <c r="J6" s="3"/>
      <c r="K6" s="3"/>
      <c r="L6" s="3"/>
    </row>
    <row r="7" spans="1:12" ht="15">
      <c r="A7" s="12" t="str">
        <f>成績表!B7</f>
        <v>陳美美</v>
      </c>
      <c r="B7" s="12">
        <f>成績表!G7</f>
        <v>24</v>
      </c>
      <c r="C7" s="12">
        <f>成績表!I7</f>
        <v>83.3</v>
      </c>
      <c r="D7" s="3"/>
      <c r="E7" s="3"/>
      <c r="F7" s="3"/>
      <c r="G7" s="3"/>
      <c r="H7" s="3"/>
      <c r="I7" s="3"/>
      <c r="J7" s="3"/>
      <c r="K7" s="3"/>
      <c r="L7" s="3"/>
    </row>
    <row r="8" spans="1:12" ht="15">
      <c r="A8" s="12" t="str">
        <f>成績表!B8</f>
        <v>張大偉</v>
      </c>
      <c r="B8" s="12">
        <f>成績表!G8</f>
        <v>30</v>
      </c>
      <c r="C8" s="12">
        <f>成績表!I8</f>
        <v>87</v>
      </c>
      <c r="D8" s="3"/>
      <c r="E8" s="3"/>
      <c r="F8" s="3"/>
      <c r="G8" s="3"/>
      <c r="H8" s="3"/>
      <c r="I8" s="3"/>
      <c r="J8" s="3"/>
      <c r="K8" s="3"/>
      <c r="L8" s="3"/>
    </row>
    <row r="9" spans="1:12" ht="15">
      <c r="A9" s="12" t="str">
        <f>成績表!B9</f>
        <v>李佳穎</v>
      </c>
      <c r="B9" s="12">
        <f>成績表!G9</f>
        <v>30</v>
      </c>
      <c r="C9" s="12">
        <f>成績表!I9</f>
        <v>95.7</v>
      </c>
      <c r="D9" s="3"/>
      <c r="E9" s="3"/>
      <c r="F9" s="3"/>
      <c r="G9" s="3"/>
      <c r="H9" s="3"/>
      <c r="I9" s="3"/>
      <c r="J9" s="3"/>
      <c r="K9" s="3"/>
      <c r="L9" s="3"/>
    </row>
    <row r="10" spans="1:12" ht="15">
      <c r="A10" s="12" t="str">
        <f>成績表!B10</f>
        <v>黃志豪</v>
      </c>
      <c r="B10" s="12">
        <f>成績表!G10</f>
        <v>26</v>
      </c>
      <c r="C10" s="12">
        <f>成績表!I10</f>
        <v>70.3</v>
      </c>
      <c r="D10" s="3"/>
      <c r="E10" s="3"/>
      <c r="F10" s="3"/>
      <c r="G10" s="3"/>
      <c r="H10" s="3"/>
      <c r="I10" s="3"/>
      <c r="J10" s="3"/>
      <c r="K10" s="3"/>
      <c r="L10" s="3"/>
    </row>
    <row r="11" spans="1:12" ht="15">
      <c r="A11" s="12" t="str">
        <f>成績表!B11</f>
        <v>吳雅婷</v>
      </c>
      <c r="B11" s="12">
        <f>成績表!G11</f>
        <v>26</v>
      </c>
      <c r="C11" s="12">
        <f>成績表!I11</f>
        <v>86.3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ht="15">
      <c r="A12" s="12" t="str">
        <f>成績表!B12</f>
        <v>劉宇軒</v>
      </c>
      <c r="B12" s="12">
        <f>成績表!G12</f>
        <v>27</v>
      </c>
      <c r="C12" s="12">
        <f>成績表!I12</f>
        <v>59.3</v>
      </c>
      <c r="D12" s="3"/>
      <c r="E12" s="3"/>
      <c r="F12" s="3"/>
      <c r="G12" s="3"/>
      <c r="H12" s="3"/>
      <c r="I12" s="3"/>
      <c r="J12" s="3"/>
      <c r="K12" s="3"/>
      <c r="L12" s="3"/>
    </row>
    <row r="13" spans="1:12" ht="15">
      <c r="A13" s="12" t="str">
        <f>成績表!B13</f>
        <v>蔡欣怡</v>
      </c>
      <c r="B13" s="12">
        <f>成績表!G13</f>
        <v>23</v>
      </c>
      <c r="C13" s="12">
        <f>成績表!I13</f>
        <v>52</v>
      </c>
      <c r="D13" s="3"/>
      <c r="E13" s="3"/>
      <c r="F13" s="3"/>
      <c r="G13" s="3"/>
      <c r="H13" s="3"/>
      <c r="I13" s="3"/>
      <c r="J13" s="3"/>
      <c r="K13" s="3"/>
      <c r="L13" s="3"/>
    </row>
    <row r="14" spans="1:12" ht="15">
      <c r="A14" s="12" t="str">
        <f>成績表!B14</f>
        <v>楊冠廷</v>
      </c>
      <c r="B14" s="12">
        <f>成績表!G14</f>
        <v>21</v>
      </c>
      <c r="C14" s="12">
        <f>成績表!I14</f>
        <v>60.7</v>
      </c>
      <c r="D14" s="3"/>
      <c r="E14" s="3"/>
      <c r="F14" s="3"/>
      <c r="G14" s="3"/>
      <c r="H14" s="3"/>
      <c r="I14" s="3"/>
      <c r="J14" s="3"/>
      <c r="K14" s="3"/>
      <c r="L14" s="3"/>
    </row>
    <row r="15" spans="1:12" ht="15">
      <c r="A15" s="12" t="str">
        <f>成績表!B15</f>
        <v>許詩涵</v>
      </c>
      <c r="B15" s="12">
        <f>成績表!G15</f>
        <v>27</v>
      </c>
      <c r="C15" s="12">
        <f>成績表!I15</f>
        <v>82.3</v>
      </c>
      <c r="D15" s="3"/>
      <c r="E15" s="3"/>
      <c r="F15" s="3"/>
      <c r="G15" s="3"/>
      <c r="H15" s="3"/>
      <c r="I15" s="3"/>
      <c r="J15" s="3"/>
      <c r="K15" s="3"/>
      <c r="L15" s="3"/>
    </row>
    <row r="16" spans="1:12" ht="15">
      <c r="A16" s="12" t="str">
        <f>成績表!B16</f>
        <v>鄭承恩</v>
      </c>
      <c r="B16" s="12">
        <f>成績表!G16</f>
        <v>25</v>
      </c>
      <c r="C16" s="12">
        <f>成績表!I16</f>
        <v>72</v>
      </c>
      <c r="D16" s="3"/>
      <c r="E16" s="3"/>
      <c r="F16" s="3"/>
      <c r="G16" s="3"/>
      <c r="H16" s="3"/>
      <c r="I16" s="3"/>
      <c r="J16" s="3"/>
      <c r="K16" s="3"/>
      <c r="L16" s="3"/>
    </row>
    <row r="17" spans="1:12" ht="15">
      <c r="A17" s="12" t="str">
        <f>成績表!B17</f>
        <v>謝宜蓁</v>
      </c>
      <c r="B17" s="12">
        <f>成績表!G17</f>
        <v>23</v>
      </c>
      <c r="C17" s="12">
        <f>成績表!I17</f>
        <v>63.7</v>
      </c>
      <c r="D17" s="3"/>
      <c r="E17" s="3"/>
      <c r="F17" s="3"/>
      <c r="G17" s="3"/>
      <c r="H17" s="3"/>
      <c r="I17" s="3"/>
      <c r="J17" s="3"/>
      <c r="K17" s="3"/>
      <c r="L17" s="3"/>
    </row>
    <row r="18" spans="1:12" ht="15">
      <c r="A18" s="12" t="str">
        <f>成績表!B18</f>
        <v>郭柏翰</v>
      </c>
      <c r="B18" s="12">
        <f>成績表!G18</f>
        <v>25</v>
      </c>
      <c r="C18" s="12">
        <f>成績表!I18</f>
        <v>90.7</v>
      </c>
      <c r="D18" s="3"/>
      <c r="E18" s="3"/>
      <c r="F18" s="3"/>
      <c r="G18" s="3"/>
      <c r="H18" s="3"/>
      <c r="I18" s="3"/>
      <c r="J18" s="3"/>
      <c r="K18" s="3"/>
      <c r="L18" s="3"/>
    </row>
    <row r="19" spans="1:12" ht="15">
      <c r="A19" s="12" t="str">
        <f>成績表!B19</f>
        <v>洪子晴</v>
      </c>
      <c r="B19" s="12">
        <f>成績表!G19</f>
        <v>22</v>
      </c>
      <c r="C19" s="12">
        <f>成績表!I19</f>
        <v>48.3</v>
      </c>
      <c r="D19" s="3"/>
      <c r="E19" s="3"/>
      <c r="F19" s="3"/>
      <c r="G19" s="3"/>
      <c r="H19" s="3"/>
      <c r="I19" s="3"/>
      <c r="J19" s="3"/>
      <c r="K19" s="3"/>
      <c r="L19" s="3"/>
    </row>
    <row r="20" spans="1:12" ht="15">
      <c r="A20" s="12" t="str">
        <f>成績表!B20</f>
        <v>曾品睿</v>
      </c>
      <c r="B20" s="12">
        <f>成績表!G20</f>
        <v>30</v>
      </c>
      <c r="C20" s="12">
        <f>成績表!I20</f>
        <v>68.7</v>
      </c>
      <c r="D20" s="3"/>
      <c r="E20" s="3"/>
      <c r="F20" s="3"/>
      <c r="G20" s="3"/>
      <c r="H20" s="3"/>
      <c r="I20" s="3"/>
      <c r="J20" s="3"/>
      <c r="K20" s="3"/>
      <c r="L20" s="3"/>
    </row>
    <row r="21" spans="1:12" ht="15">
      <c r="A21" s="12" t="str">
        <f>成績表!B21</f>
        <v>邱語恩</v>
      </c>
      <c r="B21" s="12">
        <f>成績表!G21</f>
        <v>27</v>
      </c>
      <c r="C21" s="12">
        <f>成績表!I21</f>
        <v>82</v>
      </c>
      <c r="D21" s="3"/>
      <c r="E21" s="3"/>
      <c r="F21" s="3"/>
      <c r="G21" s="3"/>
      <c r="H21" s="3"/>
      <c r="I21" s="3"/>
      <c r="J21" s="3"/>
      <c r="K21" s="3"/>
      <c r="L21" s="3"/>
    </row>
    <row r="22" spans="1:12" ht="15">
      <c r="A22" s="12" t="str">
        <f>成績表!B22</f>
        <v>廖俊傑</v>
      </c>
      <c r="B22" s="12">
        <f>成績表!G22</f>
        <v>23</v>
      </c>
      <c r="C22" s="12">
        <f>成績表!I22</f>
        <v>57</v>
      </c>
      <c r="D22" s="3"/>
      <c r="E22" s="3"/>
      <c r="F22" s="3"/>
      <c r="G22" s="3"/>
      <c r="H22" s="3"/>
      <c r="I22" s="3"/>
      <c r="J22" s="3"/>
      <c r="K22" s="3"/>
      <c r="L22" s="3"/>
    </row>
    <row r="23" spans="1:12" ht="15">
      <c r="A23" s="12" t="str">
        <f>成績表!B23</f>
        <v>賴芷瑄</v>
      </c>
      <c r="B23" s="12">
        <f>成績表!G23</f>
        <v>24</v>
      </c>
      <c r="C23" s="12">
        <f>成績表!I23</f>
        <v>60.3</v>
      </c>
      <c r="D23" s="3"/>
      <c r="E23" s="19" t="s">
        <v>192</v>
      </c>
      <c r="F23" s="20"/>
      <c r="G23" s="20"/>
      <c r="H23" s="20"/>
      <c r="I23" s="20"/>
      <c r="J23" s="20"/>
      <c r="K23" s="20"/>
      <c r="L23" s="20"/>
    </row>
    <row r="24" spans="1:12" ht="15">
      <c r="A24" s="12" t="str">
        <f>成績表!B24</f>
        <v>周昱辰</v>
      </c>
      <c r="B24" s="12">
        <f>成績表!G24</f>
        <v>26</v>
      </c>
      <c r="C24" s="12">
        <f>成績表!I24</f>
        <v>71.3</v>
      </c>
      <c r="D24" s="3"/>
      <c r="E24" s="20"/>
      <c r="F24" s="20"/>
      <c r="G24" s="20"/>
      <c r="H24" s="20"/>
      <c r="I24" s="20"/>
      <c r="J24" s="20"/>
      <c r="K24" s="20"/>
      <c r="L24" s="20"/>
    </row>
    <row r="25" spans="1:12" ht="15">
      <c r="A25" s="12" t="str">
        <f>成績表!B25</f>
        <v>徐沛涵</v>
      </c>
      <c r="B25" s="12">
        <f>成績表!G25</f>
        <v>26</v>
      </c>
      <c r="C25" s="12">
        <f>成績表!I25</f>
        <v>70.3</v>
      </c>
      <c r="D25" s="3"/>
      <c r="E25" s="20"/>
      <c r="F25" s="20"/>
      <c r="G25" s="20"/>
      <c r="H25" s="20"/>
      <c r="I25" s="20"/>
      <c r="J25" s="20"/>
      <c r="K25" s="20"/>
      <c r="L25" s="20"/>
    </row>
    <row r="26" spans="1:12" ht="15">
      <c r="A26" s="12" t="str">
        <f>成績表!B26</f>
        <v>蘇睿哲</v>
      </c>
      <c r="B26" s="12">
        <f>成績表!G26</f>
        <v>22</v>
      </c>
      <c r="C26" s="12">
        <f>成績表!I26</f>
        <v>75.7</v>
      </c>
      <c r="D26" s="3"/>
      <c r="E26" s="20"/>
      <c r="F26" s="20"/>
      <c r="G26" s="20"/>
      <c r="H26" s="20"/>
      <c r="I26" s="20"/>
      <c r="J26" s="20"/>
      <c r="K26" s="20"/>
      <c r="L26" s="20"/>
    </row>
    <row r="27" spans="1:12" ht="15">
      <c r="A27" s="12" t="str">
        <f>成績表!B27</f>
        <v>葉思妤</v>
      </c>
      <c r="B27" s="12">
        <f>成績表!G27</f>
        <v>27</v>
      </c>
      <c r="C27" s="12">
        <f>成績表!I27</f>
        <v>74.7</v>
      </c>
      <c r="D27" s="3"/>
      <c r="E27" s="3"/>
      <c r="F27" s="3"/>
      <c r="G27" s="3"/>
      <c r="H27" s="3"/>
      <c r="I27" s="3"/>
      <c r="J27" s="3"/>
      <c r="K27" s="3"/>
      <c r="L27" s="3"/>
    </row>
    <row r="28" spans="1:12" ht="15">
      <c r="A28" s="12" t="str">
        <f>成績表!B28</f>
        <v>莊奕安</v>
      </c>
      <c r="B28" s="12">
        <f>成績表!G28</f>
        <v>23</v>
      </c>
      <c r="C28" s="12">
        <f>成績表!I28</f>
        <v>60.7</v>
      </c>
      <c r="D28" s="3"/>
      <c r="E28" s="3"/>
      <c r="F28" s="3"/>
      <c r="G28" s="3"/>
      <c r="H28" s="3"/>
      <c r="I28" s="3"/>
      <c r="J28" s="3"/>
      <c r="K28" s="3"/>
      <c r="L28" s="3"/>
    </row>
    <row r="29" spans="1:12" ht="15">
      <c r="A29" s="12" t="str">
        <f>成績表!B29</f>
        <v>江采潔</v>
      </c>
      <c r="B29" s="12">
        <f>成績表!G29</f>
        <v>21</v>
      </c>
      <c r="C29" s="12">
        <f>成績表!I29</f>
        <v>63</v>
      </c>
      <c r="D29" s="3"/>
      <c r="E29" s="3"/>
      <c r="F29" s="3"/>
      <c r="G29" s="3"/>
      <c r="H29" s="3"/>
      <c r="I29" s="3"/>
      <c r="J29" s="3"/>
      <c r="K29" s="3"/>
      <c r="L29" s="3"/>
    </row>
    <row r="30" spans="1:12" ht="15">
      <c r="A30" s="12" t="str">
        <f>成績表!B30</f>
        <v>呂宥廷</v>
      </c>
      <c r="B30" s="12">
        <f>成績表!G30</f>
        <v>27</v>
      </c>
      <c r="C30" s="12">
        <f>成績表!I30</f>
        <v>77.3</v>
      </c>
      <c r="D30" s="3"/>
      <c r="E30" s="3"/>
      <c r="F30" s="3"/>
      <c r="G30" s="3"/>
      <c r="H30" s="3"/>
      <c r="I30" s="3"/>
      <c r="J30" s="3"/>
      <c r="K30" s="3"/>
      <c r="L30" s="3"/>
    </row>
    <row r="31" spans="1:12" ht="15">
      <c r="A31" s="12" t="str">
        <f>成績表!B31</f>
        <v>何芊芊</v>
      </c>
      <c r="B31" s="12">
        <f>成績表!G31</f>
        <v>30</v>
      </c>
      <c r="C31" s="12">
        <f>成績表!I31</f>
        <v>90.7</v>
      </c>
      <c r="D31" s="3"/>
      <c r="E31" s="3"/>
      <c r="F31" s="3"/>
      <c r="G31" s="3"/>
      <c r="H31" s="3"/>
      <c r="I31" s="3"/>
      <c r="J31" s="3"/>
      <c r="K31" s="3"/>
      <c r="L31" s="3"/>
    </row>
    <row r="32" spans="1:12" ht="15">
      <c r="A32" s="12" t="str">
        <f>成績表!B32</f>
        <v>高翊翔</v>
      </c>
      <c r="B32" s="12">
        <f>成績表!G32</f>
        <v>26</v>
      </c>
      <c r="C32" s="12">
        <f>成績表!I32</f>
        <v>75.7</v>
      </c>
      <c r="D32" s="3"/>
      <c r="E32" s="3"/>
      <c r="F32" s="3"/>
      <c r="G32" s="3"/>
      <c r="H32" s="3"/>
      <c r="I32" s="3"/>
      <c r="J32" s="3"/>
      <c r="K32" s="3"/>
      <c r="L32" s="3"/>
    </row>
    <row r="33" spans="1:12" ht="15">
      <c r="A33" s="12" t="str">
        <f>成績表!B33</f>
        <v>羅苡安</v>
      </c>
      <c r="B33" s="12">
        <f>成績表!G33</f>
        <v>29</v>
      </c>
      <c r="C33" s="12">
        <f>成績表!I33</f>
        <v>86.7</v>
      </c>
      <c r="D33" s="3"/>
      <c r="E33" s="3"/>
      <c r="F33" s="3"/>
      <c r="G33" s="3"/>
      <c r="H33" s="3"/>
      <c r="I33" s="3"/>
      <c r="J33" s="3"/>
      <c r="K33" s="3"/>
      <c r="L33" s="3"/>
    </row>
    <row r="34" spans="1:12" ht="15">
      <c r="A34" s="12" t="str">
        <f>成績表!B34</f>
        <v>潘彥廷</v>
      </c>
      <c r="B34" s="12">
        <f>成績表!G34</f>
        <v>22</v>
      </c>
      <c r="C34" s="12">
        <f>成績表!I34</f>
        <v>70.3</v>
      </c>
      <c r="D34" s="3"/>
      <c r="E34" s="3"/>
      <c r="F34" s="3"/>
      <c r="G34" s="3"/>
      <c r="H34" s="3"/>
      <c r="I34" s="3"/>
      <c r="J34" s="3"/>
      <c r="K34" s="3"/>
      <c r="L34" s="3"/>
    </row>
  </sheetData>
  <mergeCells count="1">
    <mergeCell ref="E23:L26"/>
  </mergeCells>
  <phoneticPr fontId="11" type="noConversion"/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11</vt:i4>
      </vt:variant>
    </vt:vector>
  </HeadingPairs>
  <TitlesOfParts>
    <vt:vector size="11" baseType="lpstr">
      <vt:lpstr>說明</vt:lpstr>
      <vt:lpstr>成績表</vt:lpstr>
      <vt:lpstr>等第表</vt:lpstr>
      <vt:lpstr>統計摘要</vt:lpstr>
      <vt:lpstr>查詢</vt:lpstr>
      <vt:lpstr>文字與日期</vt:lpstr>
      <vt:lpstr>樞紐練習資料</vt:lpstr>
      <vt:lpstr>樞紐參考答案</vt:lpstr>
      <vt:lpstr>成績分布</vt:lpstr>
      <vt:lpstr>趨勢預測</vt:lpstr>
      <vt:lpstr>相關分析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hs</cp:lastModifiedBy>
  <dcterms:created xsi:type="dcterms:W3CDTF">2026-10-16T07:29:33Z</dcterms:created>
  <dcterms:modified xsi:type="dcterms:W3CDTF">2026-10-16T07:29:39Z</dcterms:modified>
</cp:coreProperties>
</file>